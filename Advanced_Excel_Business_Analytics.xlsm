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epak Nepram\OneDrive\Desktop\Documents\Certi and ms\Intern Resume Project\Excel Project\"/>
    </mc:Choice>
  </mc:AlternateContent>
  <xr:revisionPtr revIDLastSave="0" documentId="13_ncr:1_{1C146881-070C-4607-A2B8-612D0C829547}" xr6:coauthVersionLast="47" xr6:coauthVersionMax="47" xr10:uidLastSave="{00000000-0000-0000-0000-000000000000}"/>
  <bookViews>
    <workbookView xWindow="-108" yWindow="-108" windowWidth="23256" windowHeight="12456" firstSheet="4" activeTab="9" xr2:uid="{00000000-000D-0000-FFFF-FFFF00000000}"/>
  </bookViews>
  <sheets>
    <sheet name="Original Data" sheetId="21" r:id="rId1"/>
    <sheet name="Dashboard" sheetId="22" r:id="rId2"/>
    <sheet name="TOPICS" sheetId="1" r:id="rId3"/>
    <sheet name="CONSOLIDATE" sheetId="2" r:id="rId4"/>
    <sheet name="Sheet18" sheetId="3" r:id="rId5"/>
    <sheet name="Sheet17" sheetId="4" r:id="rId6"/>
    <sheet name="Sheet16" sheetId="5" r:id="rId7"/>
    <sheet name="Sheet15" sheetId="6" r:id="rId8"/>
    <sheet name="Sheet21" sheetId="23" r:id="rId9"/>
    <sheet name="Sheet14" sheetId="7" r:id="rId10"/>
    <sheet name="Sheet13" sheetId="8" r:id="rId11"/>
    <sheet name="Sheet12" sheetId="9" r:id="rId12"/>
    <sheet name="Sheet11" sheetId="10" r:id="rId13"/>
    <sheet name="Sheet10" sheetId="11" r:id="rId14"/>
    <sheet name="Sheet9" sheetId="12" r:id="rId15"/>
    <sheet name="Sheet8" sheetId="13" r:id="rId16"/>
    <sheet name="Sheet7" sheetId="14" r:id="rId17"/>
    <sheet name="Sheet5" sheetId="15" r:id="rId18"/>
    <sheet name="Sheet6" sheetId="16" r:id="rId19"/>
    <sheet name="Sheet3" sheetId="17" r:id="rId20"/>
    <sheet name="Sheet4" sheetId="18" r:id="rId21"/>
    <sheet name="Sheet2" sheetId="19" r:id="rId22"/>
    <sheet name="Sheet1" sheetId="20" r:id="rId23"/>
  </sheets>
  <definedNames>
    <definedName name="_xlcn.WorksheetConnection_Advanced_Excel_Business_Analytics.xlsmtblHR81" hidden="1">tblHR8[]</definedName>
    <definedName name="_xlcn.WorksheetConnection_Advanced_Excel_Business_Analytics.xlsmtblInventory91" hidden="1">tblInventory9[]</definedName>
    <definedName name="_xlcn.WorksheetConnection_Advanced_Excel_Business_Analytics.xlsmtblSales71" hidden="1">tblSales7[]</definedName>
  </definedNames>
  <calcPr calcId="181029"/>
  <pivotCaches>
    <pivotCache cacheId="168" r:id="rId24"/>
    <pivotCache cacheId="171" r:id="rId25"/>
    <pivotCache cacheId="174" r:id="rId26"/>
  </pivotCaches>
  <extLst>
    <ext xmlns:x15="http://schemas.microsoft.com/office/spreadsheetml/2010/11/main" uri="{FCE2AD5D-F65C-4FA6-A056-5C36A1767C68}">
      <x15:dataModel>
        <x15:modelTables>
          <x15:modelTable id="tblHR8" name="tblHR8" connection="WorksheetConnection_Advanced_Excel_Business_Analytics.xlsm!tblHR8"/>
          <x15:modelTable id="tblSales7" name="tblSales7" connection="WorksheetConnection_Advanced_Excel_Business_Analytics.xlsm!tblSales7"/>
          <x15:modelTable id="tblInventory9" name="tblInventory9" connection="WorksheetConnection_Advanced_Excel_Business_Analytics.xlsm!tblInventory9"/>
        </x15:modelTables>
      </x15:dataModel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8" i="7" l="1"/>
  <c r="Q8" i="7"/>
  <c r="P8" i="7"/>
  <c r="O8" i="7"/>
  <c r="K10" i="20"/>
  <c r="J10" i="20"/>
  <c r="I10" i="20"/>
  <c r="H10" i="20"/>
  <c r="F2" i="22"/>
  <c r="E2" i="22"/>
  <c r="D2" i="22"/>
  <c r="C2" i="22"/>
  <c r="B2" i="22"/>
  <c r="A2" i="22"/>
  <c r="F26" i="18"/>
  <c r="E26" i="18"/>
  <c r="F25" i="18"/>
  <c r="E25" i="18"/>
  <c r="F24" i="18"/>
  <c r="E24" i="18"/>
  <c r="F23" i="18"/>
  <c r="E23" i="18"/>
  <c r="F22" i="18"/>
  <c r="E22" i="18"/>
  <c r="F21" i="18"/>
  <c r="E21" i="18"/>
  <c r="F20" i="18"/>
  <c r="E20" i="18"/>
  <c r="F19" i="18"/>
  <c r="E19" i="18"/>
  <c r="F18" i="18"/>
  <c r="E18" i="18"/>
  <c r="F17" i="18"/>
  <c r="E17" i="18"/>
  <c r="F16" i="18"/>
  <c r="E16" i="18"/>
  <c r="F15" i="18"/>
  <c r="E15" i="18"/>
  <c r="F14" i="18"/>
  <c r="E14" i="18"/>
  <c r="F13" i="18"/>
  <c r="E13" i="18"/>
  <c r="F12" i="18"/>
  <c r="E12" i="18"/>
  <c r="F11" i="18"/>
  <c r="E11" i="18"/>
  <c r="F10" i="18"/>
  <c r="E10" i="18"/>
  <c r="F9" i="18"/>
  <c r="E9" i="18"/>
  <c r="F8" i="18"/>
  <c r="E8" i="18"/>
  <c r="F7" i="18"/>
  <c r="E7" i="18"/>
  <c r="F6" i="18"/>
  <c r="E6" i="18"/>
  <c r="F5" i="18"/>
  <c r="E5" i="18"/>
  <c r="F4" i="18"/>
  <c r="E4" i="18"/>
  <c r="F3" i="18"/>
  <c r="E3" i="18"/>
  <c r="F2" i="18"/>
  <c r="E2" i="18"/>
  <c r="G16" i="17"/>
  <c r="F16" i="17"/>
  <c r="E16" i="17"/>
  <c r="D16" i="17"/>
  <c r="G15" i="17"/>
  <c r="F15" i="17"/>
  <c r="E15" i="17"/>
  <c r="D15" i="17"/>
  <c r="G14" i="17"/>
  <c r="F14" i="17"/>
  <c r="E14" i="17"/>
  <c r="D14" i="17"/>
  <c r="G13" i="17"/>
  <c r="F13" i="17"/>
  <c r="E13" i="17"/>
  <c r="D13" i="17"/>
  <c r="G12" i="17"/>
  <c r="F12" i="17"/>
  <c r="E12" i="17"/>
  <c r="D12" i="17"/>
  <c r="G11" i="17"/>
  <c r="F11" i="17"/>
  <c r="E11" i="17"/>
  <c r="D11" i="17"/>
  <c r="G10" i="17"/>
  <c r="F10" i="17"/>
  <c r="E10" i="17"/>
  <c r="D10" i="17"/>
  <c r="G9" i="17"/>
  <c r="F9" i="17"/>
  <c r="E9" i="17"/>
  <c r="D9" i="17"/>
  <c r="G8" i="17"/>
  <c r="F8" i="17"/>
  <c r="E8" i="17"/>
  <c r="D8" i="17"/>
  <c r="G7" i="17"/>
  <c r="F7" i="17"/>
  <c r="E7" i="17"/>
  <c r="D7" i="17"/>
  <c r="G6" i="17"/>
  <c r="F6" i="17"/>
  <c r="E6" i="17"/>
  <c r="D6" i="17"/>
  <c r="G5" i="17"/>
  <c r="F5" i="17"/>
  <c r="E5" i="17"/>
  <c r="D5" i="17"/>
  <c r="G4" i="17"/>
  <c r="F4" i="17"/>
  <c r="E4" i="17"/>
  <c r="D4" i="17"/>
  <c r="G3" i="17"/>
  <c r="F3" i="17"/>
  <c r="E3" i="17"/>
  <c r="D3" i="17"/>
  <c r="G2" i="17"/>
  <c r="F2" i="17"/>
  <c r="E2" i="17"/>
  <c r="D2" i="17"/>
  <c r="E17" i="15"/>
  <c r="E16" i="15"/>
  <c r="E15" i="15"/>
  <c r="E14" i="15"/>
  <c r="E13" i="15"/>
  <c r="E12" i="15"/>
  <c r="E11" i="15"/>
  <c r="E10" i="15"/>
  <c r="E9" i="15"/>
  <c r="E8" i="15"/>
  <c r="E7" i="15"/>
  <c r="E10" i="13"/>
  <c r="E9" i="13"/>
  <c r="E8" i="13"/>
  <c r="E7" i="13"/>
  <c r="E6" i="13"/>
  <c r="B7" i="12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C14" i="11"/>
  <c r="C12" i="11"/>
  <c r="J8" i="10"/>
  <c r="J6" i="10"/>
  <c r="J4" i="10"/>
  <c r="M501" i="9"/>
  <c r="H501" i="9"/>
  <c r="E501" i="9"/>
  <c r="B501" i="9"/>
  <c r="F501" i="9" s="1"/>
  <c r="M500" i="9"/>
  <c r="H500" i="9"/>
  <c r="E500" i="9"/>
  <c r="B500" i="9"/>
  <c r="F500" i="9" s="1"/>
  <c r="M499" i="9"/>
  <c r="H499" i="9"/>
  <c r="E499" i="9"/>
  <c r="F499" i="9" s="1"/>
  <c r="B499" i="9"/>
  <c r="M498" i="9"/>
  <c r="H498" i="9"/>
  <c r="E498" i="9"/>
  <c r="B498" i="9"/>
  <c r="F498" i="9" s="1"/>
  <c r="M497" i="9"/>
  <c r="H497" i="9"/>
  <c r="E497" i="9"/>
  <c r="B497" i="9"/>
  <c r="F497" i="9" s="1"/>
  <c r="M496" i="9"/>
  <c r="H496" i="9"/>
  <c r="E496" i="9"/>
  <c r="B496" i="9"/>
  <c r="F496" i="9" s="1"/>
  <c r="M495" i="9"/>
  <c r="H495" i="9"/>
  <c r="E495" i="9"/>
  <c r="B495" i="9"/>
  <c r="F495" i="9" s="1"/>
  <c r="M494" i="9"/>
  <c r="H494" i="9"/>
  <c r="E494" i="9"/>
  <c r="B494" i="9"/>
  <c r="F494" i="9" s="1"/>
  <c r="M493" i="9"/>
  <c r="H493" i="9"/>
  <c r="E493" i="9"/>
  <c r="B493" i="9"/>
  <c r="M492" i="9"/>
  <c r="H492" i="9"/>
  <c r="F492" i="9"/>
  <c r="E492" i="9"/>
  <c r="B492" i="9"/>
  <c r="M491" i="9"/>
  <c r="H491" i="9"/>
  <c r="F491" i="9"/>
  <c r="E491" i="9"/>
  <c r="B491" i="9"/>
  <c r="M490" i="9"/>
  <c r="H490" i="9"/>
  <c r="E490" i="9"/>
  <c r="B490" i="9"/>
  <c r="F490" i="9" s="1"/>
  <c r="M489" i="9"/>
  <c r="H489" i="9"/>
  <c r="E489" i="9"/>
  <c r="B489" i="9"/>
  <c r="F489" i="9" s="1"/>
  <c r="M488" i="9"/>
  <c r="H488" i="9"/>
  <c r="E488" i="9"/>
  <c r="F488" i="9" s="1"/>
  <c r="B488" i="9"/>
  <c r="M487" i="9"/>
  <c r="H487" i="9"/>
  <c r="E487" i="9"/>
  <c r="F487" i="9" s="1"/>
  <c r="B487" i="9"/>
  <c r="M486" i="9"/>
  <c r="H486" i="9"/>
  <c r="E486" i="9"/>
  <c r="B486" i="9"/>
  <c r="F486" i="9" s="1"/>
  <c r="M485" i="9"/>
  <c r="H485" i="9"/>
  <c r="E485" i="9"/>
  <c r="B485" i="9"/>
  <c r="F485" i="9" s="1"/>
  <c r="M484" i="9"/>
  <c r="H484" i="9"/>
  <c r="E484" i="9"/>
  <c r="B484" i="9"/>
  <c r="F484" i="9" s="1"/>
  <c r="M483" i="9"/>
  <c r="H483" i="9"/>
  <c r="E483" i="9"/>
  <c r="B483" i="9"/>
  <c r="F483" i="9" s="1"/>
  <c r="M482" i="9"/>
  <c r="H482" i="9"/>
  <c r="E482" i="9"/>
  <c r="B482" i="9"/>
  <c r="F482" i="9" s="1"/>
  <c r="M481" i="9"/>
  <c r="H481" i="9"/>
  <c r="E481" i="9"/>
  <c r="B481" i="9"/>
  <c r="F481" i="9" s="1"/>
  <c r="M480" i="9"/>
  <c r="H480" i="9"/>
  <c r="E480" i="9"/>
  <c r="B480" i="9"/>
  <c r="F480" i="9" s="1"/>
  <c r="M479" i="9"/>
  <c r="H479" i="9"/>
  <c r="E479" i="9"/>
  <c r="B479" i="9"/>
  <c r="F479" i="9" s="1"/>
  <c r="M478" i="9"/>
  <c r="H478" i="9"/>
  <c r="E478" i="9"/>
  <c r="B478" i="9"/>
  <c r="F478" i="9" s="1"/>
  <c r="M477" i="9"/>
  <c r="H477" i="9"/>
  <c r="E477" i="9"/>
  <c r="B477" i="9"/>
  <c r="F477" i="9" s="1"/>
  <c r="M476" i="9"/>
  <c r="H476" i="9"/>
  <c r="F476" i="9"/>
  <c r="E476" i="9"/>
  <c r="B476" i="9"/>
  <c r="M475" i="9"/>
  <c r="H475" i="9"/>
  <c r="E475" i="9"/>
  <c r="B475" i="9"/>
  <c r="F475" i="9" s="1"/>
  <c r="M474" i="9"/>
  <c r="H474" i="9"/>
  <c r="E474" i="9"/>
  <c r="B474" i="9"/>
  <c r="F474" i="9" s="1"/>
  <c r="M473" i="9"/>
  <c r="H473" i="9"/>
  <c r="E473" i="9"/>
  <c r="B473" i="9"/>
  <c r="F473" i="9" s="1"/>
  <c r="M472" i="9"/>
  <c r="H472" i="9"/>
  <c r="F472" i="9"/>
  <c r="E472" i="9"/>
  <c r="B472" i="9"/>
  <c r="M471" i="9"/>
  <c r="H471" i="9"/>
  <c r="F471" i="9"/>
  <c r="E471" i="9"/>
  <c r="B471" i="9"/>
  <c r="M470" i="9"/>
  <c r="H470" i="9"/>
  <c r="F470" i="9"/>
  <c r="E470" i="9"/>
  <c r="B470" i="9"/>
  <c r="M469" i="9"/>
  <c r="H469" i="9"/>
  <c r="E469" i="9"/>
  <c r="B469" i="9"/>
  <c r="F469" i="9" s="1"/>
  <c r="M468" i="9"/>
  <c r="H468" i="9"/>
  <c r="F468" i="9"/>
  <c r="E468" i="9"/>
  <c r="B468" i="9"/>
  <c r="M467" i="9"/>
  <c r="H467" i="9"/>
  <c r="E467" i="9"/>
  <c r="F467" i="9" s="1"/>
  <c r="B467" i="9"/>
  <c r="M466" i="9"/>
  <c r="H466" i="9"/>
  <c r="E466" i="9"/>
  <c r="F466" i="9" s="1"/>
  <c r="B466" i="9"/>
  <c r="M465" i="9"/>
  <c r="H465" i="9"/>
  <c r="E465" i="9"/>
  <c r="B465" i="9"/>
  <c r="F465" i="9" s="1"/>
  <c r="M464" i="9"/>
  <c r="H464" i="9"/>
  <c r="E464" i="9"/>
  <c r="B464" i="9"/>
  <c r="F464" i="9" s="1"/>
  <c r="M463" i="9"/>
  <c r="H463" i="9"/>
  <c r="E463" i="9"/>
  <c r="B463" i="9"/>
  <c r="F463" i="9" s="1"/>
  <c r="M462" i="9"/>
  <c r="H462" i="9"/>
  <c r="E462" i="9"/>
  <c r="B462" i="9"/>
  <c r="F462" i="9" s="1"/>
  <c r="M461" i="9"/>
  <c r="H461" i="9"/>
  <c r="E461" i="9"/>
  <c r="B461" i="9"/>
  <c r="F461" i="9" s="1"/>
  <c r="M460" i="9"/>
  <c r="H460" i="9"/>
  <c r="E460" i="9"/>
  <c r="B460" i="9"/>
  <c r="F460" i="9" s="1"/>
  <c r="M459" i="9"/>
  <c r="H459" i="9"/>
  <c r="E459" i="9"/>
  <c r="B459" i="9"/>
  <c r="F459" i="9" s="1"/>
  <c r="M458" i="9"/>
  <c r="H458" i="9"/>
  <c r="E458" i="9"/>
  <c r="B458" i="9"/>
  <c r="F458" i="9" s="1"/>
  <c r="M457" i="9"/>
  <c r="H457" i="9"/>
  <c r="E457" i="9"/>
  <c r="B457" i="9"/>
  <c r="F457" i="9" s="1"/>
  <c r="M456" i="9"/>
  <c r="H456" i="9"/>
  <c r="E456" i="9"/>
  <c r="B456" i="9"/>
  <c r="F456" i="9" s="1"/>
  <c r="M455" i="9"/>
  <c r="H455" i="9"/>
  <c r="F455" i="9"/>
  <c r="E455" i="9"/>
  <c r="B455" i="9"/>
  <c r="M454" i="9"/>
  <c r="H454" i="9"/>
  <c r="E454" i="9"/>
  <c r="B454" i="9"/>
  <c r="F454" i="9" s="1"/>
  <c r="M453" i="9"/>
  <c r="H453" i="9"/>
  <c r="E453" i="9"/>
  <c r="B453" i="9"/>
  <c r="F453" i="9" s="1"/>
  <c r="M452" i="9"/>
  <c r="H452" i="9"/>
  <c r="E452" i="9"/>
  <c r="B452" i="9"/>
  <c r="F452" i="9" s="1"/>
  <c r="M451" i="9"/>
  <c r="H451" i="9"/>
  <c r="E451" i="9"/>
  <c r="F451" i="9" s="1"/>
  <c r="B451" i="9"/>
  <c r="M450" i="9"/>
  <c r="H450" i="9"/>
  <c r="F450" i="9"/>
  <c r="E450" i="9"/>
  <c r="B450" i="9"/>
  <c r="M449" i="9"/>
  <c r="H449" i="9"/>
  <c r="E449" i="9"/>
  <c r="B449" i="9"/>
  <c r="M448" i="9"/>
  <c r="H448" i="9"/>
  <c r="E448" i="9"/>
  <c r="B448" i="9"/>
  <c r="F448" i="9" s="1"/>
  <c r="M447" i="9"/>
  <c r="H447" i="9"/>
  <c r="E447" i="9"/>
  <c r="F447" i="9" s="1"/>
  <c r="B447" i="9"/>
  <c r="M446" i="9"/>
  <c r="H446" i="9"/>
  <c r="E446" i="9"/>
  <c r="F446" i="9" s="1"/>
  <c r="B446" i="9"/>
  <c r="M445" i="9"/>
  <c r="H445" i="9"/>
  <c r="E445" i="9"/>
  <c r="B445" i="9"/>
  <c r="F445" i="9" s="1"/>
  <c r="M444" i="9"/>
  <c r="H444" i="9"/>
  <c r="E444" i="9"/>
  <c r="B444" i="9"/>
  <c r="F444" i="9" s="1"/>
  <c r="M443" i="9"/>
  <c r="H443" i="9"/>
  <c r="E443" i="9"/>
  <c r="B443" i="9"/>
  <c r="F443" i="9" s="1"/>
  <c r="M442" i="9"/>
  <c r="H442" i="9"/>
  <c r="E442" i="9"/>
  <c r="B442" i="9"/>
  <c r="F442" i="9" s="1"/>
  <c r="M441" i="9"/>
  <c r="H441" i="9"/>
  <c r="E441" i="9"/>
  <c r="B441" i="9"/>
  <c r="F441" i="9" s="1"/>
  <c r="M440" i="9"/>
  <c r="H440" i="9"/>
  <c r="E440" i="9"/>
  <c r="B440" i="9"/>
  <c r="F440" i="9" s="1"/>
  <c r="M439" i="9"/>
  <c r="H439" i="9"/>
  <c r="E439" i="9"/>
  <c r="B439" i="9"/>
  <c r="M438" i="9"/>
  <c r="H438" i="9"/>
  <c r="E438" i="9"/>
  <c r="B438" i="9"/>
  <c r="F438" i="9" s="1"/>
  <c r="M437" i="9"/>
  <c r="H437" i="9"/>
  <c r="E437" i="9"/>
  <c r="B437" i="9"/>
  <c r="F437" i="9" s="1"/>
  <c r="M436" i="9"/>
  <c r="H436" i="9"/>
  <c r="E436" i="9"/>
  <c r="B436" i="9"/>
  <c r="F436" i="9" s="1"/>
  <c r="M435" i="9"/>
  <c r="H435" i="9"/>
  <c r="E435" i="9"/>
  <c r="B435" i="9"/>
  <c r="F435" i="9" s="1"/>
  <c r="M434" i="9"/>
  <c r="H434" i="9"/>
  <c r="F434" i="9"/>
  <c r="E434" i="9"/>
  <c r="B434" i="9"/>
  <c r="M433" i="9"/>
  <c r="H433" i="9"/>
  <c r="E433" i="9"/>
  <c r="B433" i="9"/>
  <c r="F433" i="9" s="1"/>
  <c r="M432" i="9"/>
  <c r="H432" i="9"/>
  <c r="F432" i="9"/>
  <c r="E432" i="9"/>
  <c r="B432" i="9"/>
  <c r="M431" i="9"/>
  <c r="H431" i="9"/>
  <c r="E431" i="9"/>
  <c r="B431" i="9"/>
  <c r="F431" i="9" s="1"/>
  <c r="M430" i="9"/>
  <c r="H430" i="9"/>
  <c r="E430" i="9"/>
  <c r="F430" i="9" s="1"/>
  <c r="B430" i="9"/>
  <c r="M429" i="9"/>
  <c r="H429" i="9"/>
  <c r="E429" i="9"/>
  <c r="B429" i="9"/>
  <c r="M428" i="9"/>
  <c r="H428" i="9"/>
  <c r="E428" i="9"/>
  <c r="F428" i="9" s="1"/>
  <c r="B428" i="9"/>
  <c r="M427" i="9"/>
  <c r="H427" i="9"/>
  <c r="E427" i="9"/>
  <c r="B427" i="9"/>
  <c r="F427" i="9" s="1"/>
  <c r="M426" i="9"/>
  <c r="H426" i="9"/>
  <c r="E426" i="9"/>
  <c r="B426" i="9"/>
  <c r="F426" i="9" s="1"/>
  <c r="M425" i="9"/>
  <c r="H425" i="9"/>
  <c r="E425" i="9"/>
  <c r="B425" i="9"/>
  <c r="F425" i="9" s="1"/>
  <c r="M424" i="9"/>
  <c r="H424" i="9"/>
  <c r="E424" i="9"/>
  <c r="B424" i="9"/>
  <c r="F424" i="9" s="1"/>
  <c r="M423" i="9"/>
  <c r="H423" i="9"/>
  <c r="E423" i="9"/>
  <c r="B423" i="9"/>
  <c r="F423" i="9" s="1"/>
  <c r="M422" i="9"/>
  <c r="H422" i="9"/>
  <c r="E422" i="9"/>
  <c r="B422" i="9"/>
  <c r="F422" i="9" s="1"/>
  <c r="M421" i="9"/>
  <c r="H421" i="9"/>
  <c r="E421" i="9"/>
  <c r="B421" i="9"/>
  <c r="F421" i="9" s="1"/>
  <c r="M420" i="9"/>
  <c r="H420" i="9"/>
  <c r="E420" i="9"/>
  <c r="B420" i="9"/>
  <c r="F420" i="9" s="1"/>
  <c r="M419" i="9"/>
  <c r="H419" i="9"/>
  <c r="E419" i="9"/>
  <c r="B419" i="9"/>
  <c r="F419" i="9" s="1"/>
  <c r="M418" i="9"/>
  <c r="H418" i="9"/>
  <c r="E418" i="9"/>
  <c r="B418" i="9"/>
  <c r="F418" i="9" s="1"/>
  <c r="M417" i="9"/>
  <c r="H417" i="9"/>
  <c r="E417" i="9"/>
  <c r="B417" i="9"/>
  <c r="F417" i="9" s="1"/>
  <c r="M416" i="9"/>
  <c r="H416" i="9"/>
  <c r="E416" i="9"/>
  <c r="B416" i="9"/>
  <c r="F416" i="9" s="1"/>
  <c r="M415" i="9"/>
  <c r="H415" i="9"/>
  <c r="E415" i="9"/>
  <c r="B415" i="9"/>
  <c r="F415" i="9" s="1"/>
  <c r="M414" i="9"/>
  <c r="H414" i="9"/>
  <c r="E414" i="9"/>
  <c r="B414" i="9"/>
  <c r="F414" i="9" s="1"/>
  <c r="M413" i="9"/>
  <c r="H413" i="9"/>
  <c r="E413" i="9"/>
  <c r="B413" i="9"/>
  <c r="M412" i="9"/>
  <c r="H412" i="9"/>
  <c r="F412" i="9"/>
  <c r="E412" i="9"/>
  <c r="B412" i="9"/>
  <c r="M411" i="9"/>
  <c r="H411" i="9"/>
  <c r="F411" i="9"/>
  <c r="E411" i="9"/>
  <c r="B411" i="9"/>
  <c r="M410" i="9"/>
  <c r="H410" i="9"/>
  <c r="E410" i="9"/>
  <c r="B410" i="9"/>
  <c r="F410" i="9" s="1"/>
  <c r="M409" i="9"/>
  <c r="H409" i="9"/>
  <c r="E409" i="9"/>
  <c r="B409" i="9"/>
  <c r="F409" i="9" s="1"/>
  <c r="M408" i="9"/>
  <c r="H408" i="9"/>
  <c r="E408" i="9"/>
  <c r="F408" i="9" s="1"/>
  <c r="B408" i="9"/>
  <c r="M407" i="9"/>
  <c r="H407" i="9"/>
  <c r="E407" i="9"/>
  <c r="F407" i="9" s="1"/>
  <c r="B407" i="9"/>
  <c r="M406" i="9"/>
  <c r="H406" i="9"/>
  <c r="E406" i="9"/>
  <c r="B406" i="9"/>
  <c r="F406" i="9" s="1"/>
  <c r="M405" i="9"/>
  <c r="H405" i="9"/>
  <c r="E405" i="9"/>
  <c r="B405" i="9"/>
  <c r="F405" i="9" s="1"/>
  <c r="M404" i="9"/>
  <c r="H404" i="9"/>
  <c r="E404" i="9"/>
  <c r="B404" i="9"/>
  <c r="F404" i="9" s="1"/>
  <c r="M403" i="9"/>
  <c r="H403" i="9"/>
  <c r="E403" i="9"/>
  <c r="B403" i="9"/>
  <c r="F403" i="9" s="1"/>
  <c r="M402" i="9"/>
  <c r="H402" i="9"/>
  <c r="E402" i="9"/>
  <c r="B402" i="9"/>
  <c r="F402" i="9" s="1"/>
  <c r="M401" i="9"/>
  <c r="H401" i="9"/>
  <c r="E401" i="9"/>
  <c r="B401" i="9"/>
  <c r="M400" i="9"/>
  <c r="H400" i="9"/>
  <c r="E400" i="9"/>
  <c r="B400" i="9"/>
  <c r="F400" i="9" s="1"/>
  <c r="M399" i="9"/>
  <c r="H399" i="9"/>
  <c r="E399" i="9"/>
  <c r="B399" i="9"/>
  <c r="F399" i="9" s="1"/>
  <c r="M398" i="9"/>
  <c r="H398" i="9"/>
  <c r="E398" i="9"/>
  <c r="B398" i="9"/>
  <c r="F398" i="9" s="1"/>
  <c r="M397" i="9"/>
  <c r="H397" i="9"/>
  <c r="E397" i="9"/>
  <c r="B397" i="9"/>
  <c r="F397" i="9" s="1"/>
  <c r="M396" i="9"/>
  <c r="H396" i="9"/>
  <c r="F396" i="9"/>
  <c r="E396" i="9"/>
  <c r="B396" i="9"/>
  <c r="M395" i="9"/>
  <c r="H395" i="9"/>
  <c r="E395" i="9"/>
  <c r="B395" i="9"/>
  <c r="F395" i="9" s="1"/>
  <c r="M394" i="9"/>
  <c r="H394" i="9"/>
  <c r="E394" i="9"/>
  <c r="B394" i="9"/>
  <c r="F394" i="9" s="1"/>
  <c r="M393" i="9"/>
  <c r="H393" i="9"/>
  <c r="E393" i="9"/>
  <c r="B393" i="9"/>
  <c r="F393" i="9" s="1"/>
  <c r="M392" i="9"/>
  <c r="H392" i="9"/>
  <c r="E392" i="9"/>
  <c r="F392" i="9" s="1"/>
  <c r="B392" i="9"/>
  <c r="M391" i="9"/>
  <c r="H391" i="9"/>
  <c r="F391" i="9"/>
  <c r="E391" i="9"/>
  <c r="B391" i="9"/>
  <c r="M390" i="9"/>
  <c r="H390" i="9"/>
  <c r="F390" i="9"/>
  <c r="E390" i="9"/>
  <c r="B390" i="9"/>
  <c r="M389" i="9"/>
  <c r="H389" i="9"/>
  <c r="E389" i="9"/>
  <c r="B389" i="9"/>
  <c r="F389" i="9" s="1"/>
  <c r="M388" i="9"/>
  <c r="H388" i="9"/>
  <c r="E388" i="9"/>
  <c r="B388" i="9"/>
  <c r="F388" i="9" s="1"/>
  <c r="M387" i="9"/>
  <c r="H387" i="9"/>
  <c r="E387" i="9"/>
  <c r="F387" i="9" s="1"/>
  <c r="B387" i="9"/>
  <c r="M386" i="9"/>
  <c r="H386" i="9"/>
  <c r="E386" i="9"/>
  <c r="F386" i="9" s="1"/>
  <c r="B386" i="9"/>
  <c r="M385" i="9"/>
  <c r="H385" i="9"/>
  <c r="E385" i="9"/>
  <c r="B385" i="9"/>
  <c r="F385" i="9" s="1"/>
  <c r="M384" i="9"/>
  <c r="H384" i="9"/>
  <c r="E384" i="9"/>
  <c r="B384" i="9"/>
  <c r="F384" i="9" s="1"/>
  <c r="M383" i="9"/>
  <c r="H383" i="9"/>
  <c r="E383" i="9"/>
  <c r="B383" i="9"/>
  <c r="F383" i="9" s="1"/>
  <c r="M382" i="9"/>
  <c r="H382" i="9"/>
  <c r="E382" i="9"/>
  <c r="B382" i="9"/>
  <c r="F382" i="9" s="1"/>
  <c r="M381" i="9"/>
  <c r="H381" i="9"/>
  <c r="E381" i="9"/>
  <c r="B381" i="9"/>
  <c r="F381" i="9" s="1"/>
  <c r="M380" i="9"/>
  <c r="H380" i="9"/>
  <c r="E380" i="9"/>
  <c r="B380" i="9"/>
  <c r="F380" i="9" s="1"/>
  <c r="M379" i="9"/>
  <c r="H379" i="9"/>
  <c r="E379" i="9"/>
  <c r="B379" i="9"/>
  <c r="F379" i="9" s="1"/>
  <c r="M378" i="9"/>
  <c r="H378" i="9"/>
  <c r="E378" i="9"/>
  <c r="B378" i="9"/>
  <c r="F378" i="9" s="1"/>
  <c r="M377" i="9"/>
  <c r="H377" i="9"/>
  <c r="E377" i="9"/>
  <c r="B377" i="9"/>
  <c r="F377" i="9" s="1"/>
  <c r="M376" i="9"/>
  <c r="H376" i="9"/>
  <c r="E376" i="9"/>
  <c r="B376" i="9"/>
  <c r="F376" i="9" s="1"/>
  <c r="M375" i="9"/>
  <c r="H375" i="9"/>
  <c r="F375" i="9"/>
  <c r="E375" i="9"/>
  <c r="B375" i="9"/>
  <c r="M374" i="9"/>
  <c r="H374" i="9"/>
  <c r="E374" i="9"/>
  <c r="B374" i="9"/>
  <c r="F374" i="9" s="1"/>
  <c r="M373" i="9"/>
  <c r="H373" i="9"/>
  <c r="E373" i="9"/>
  <c r="B373" i="9"/>
  <c r="F373" i="9" s="1"/>
  <c r="M372" i="9"/>
  <c r="H372" i="9"/>
  <c r="E372" i="9"/>
  <c r="B372" i="9"/>
  <c r="F372" i="9" s="1"/>
  <c r="M371" i="9"/>
  <c r="H371" i="9"/>
  <c r="E371" i="9"/>
  <c r="F371" i="9" s="1"/>
  <c r="B371" i="9"/>
  <c r="M370" i="9"/>
  <c r="H370" i="9"/>
  <c r="F370" i="9"/>
  <c r="E370" i="9"/>
  <c r="B370" i="9"/>
  <c r="M369" i="9"/>
  <c r="H369" i="9"/>
  <c r="E369" i="9"/>
  <c r="B369" i="9"/>
  <c r="M368" i="9"/>
  <c r="H368" i="9"/>
  <c r="E368" i="9"/>
  <c r="B368" i="9"/>
  <c r="F368" i="9" s="1"/>
  <c r="M367" i="9"/>
  <c r="H367" i="9"/>
  <c r="E367" i="9"/>
  <c r="B367" i="9"/>
  <c r="F367" i="9" s="1"/>
  <c r="M366" i="9"/>
  <c r="H366" i="9"/>
  <c r="E366" i="9"/>
  <c r="F366" i="9" s="1"/>
  <c r="B366" i="9"/>
  <c r="M365" i="9"/>
  <c r="H365" i="9"/>
  <c r="E365" i="9"/>
  <c r="B365" i="9"/>
  <c r="F365" i="9" s="1"/>
  <c r="M364" i="9"/>
  <c r="H364" i="9"/>
  <c r="E364" i="9"/>
  <c r="B364" i="9"/>
  <c r="F364" i="9" s="1"/>
  <c r="M363" i="9"/>
  <c r="H363" i="9"/>
  <c r="E363" i="9"/>
  <c r="B363" i="9"/>
  <c r="F363" i="9" s="1"/>
  <c r="M362" i="9"/>
  <c r="H362" i="9"/>
  <c r="E362" i="9"/>
  <c r="B362" i="9"/>
  <c r="F362" i="9" s="1"/>
  <c r="M361" i="9"/>
  <c r="H361" i="9"/>
  <c r="E361" i="9"/>
  <c r="B361" i="9"/>
  <c r="F361" i="9" s="1"/>
  <c r="M360" i="9"/>
  <c r="H360" i="9"/>
  <c r="E360" i="9"/>
  <c r="B360" i="9"/>
  <c r="F360" i="9" s="1"/>
  <c r="M359" i="9"/>
  <c r="H359" i="9"/>
  <c r="E359" i="9"/>
  <c r="B359" i="9"/>
  <c r="F359" i="9" s="1"/>
  <c r="M358" i="9"/>
  <c r="H358" i="9"/>
  <c r="E358" i="9"/>
  <c r="B358" i="9"/>
  <c r="F358" i="9" s="1"/>
  <c r="M357" i="9"/>
  <c r="H357" i="9"/>
  <c r="E357" i="9"/>
  <c r="B357" i="9"/>
  <c r="F357" i="9" s="1"/>
  <c r="M356" i="9"/>
  <c r="H356" i="9"/>
  <c r="E356" i="9"/>
  <c r="B356" i="9"/>
  <c r="F356" i="9" s="1"/>
  <c r="M355" i="9"/>
  <c r="H355" i="9"/>
  <c r="E355" i="9"/>
  <c r="B355" i="9"/>
  <c r="F355" i="9" s="1"/>
  <c r="M354" i="9"/>
  <c r="H354" i="9"/>
  <c r="F354" i="9"/>
  <c r="E354" i="9"/>
  <c r="B354" i="9"/>
  <c r="M353" i="9"/>
  <c r="H353" i="9"/>
  <c r="E353" i="9"/>
  <c r="B353" i="9"/>
  <c r="F353" i="9" s="1"/>
  <c r="M352" i="9"/>
  <c r="H352" i="9"/>
  <c r="F352" i="9"/>
  <c r="E352" i="9"/>
  <c r="B352" i="9"/>
  <c r="M351" i="9"/>
  <c r="H351" i="9"/>
  <c r="E351" i="9"/>
  <c r="B351" i="9"/>
  <c r="F351" i="9" s="1"/>
  <c r="M350" i="9"/>
  <c r="H350" i="9"/>
  <c r="E350" i="9"/>
  <c r="F350" i="9" s="1"/>
  <c r="B350" i="9"/>
  <c r="M349" i="9"/>
  <c r="H349" i="9"/>
  <c r="E349" i="9"/>
  <c r="B349" i="9"/>
  <c r="M348" i="9"/>
  <c r="H348" i="9"/>
  <c r="E348" i="9"/>
  <c r="F348" i="9" s="1"/>
  <c r="B348" i="9"/>
  <c r="M347" i="9"/>
  <c r="H347" i="9"/>
  <c r="E347" i="9"/>
  <c r="B347" i="9"/>
  <c r="F347" i="9" s="1"/>
  <c r="M346" i="9"/>
  <c r="H346" i="9"/>
  <c r="E346" i="9"/>
  <c r="B346" i="9"/>
  <c r="F346" i="9" s="1"/>
  <c r="M345" i="9"/>
  <c r="H345" i="9"/>
  <c r="E345" i="9"/>
  <c r="B345" i="9"/>
  <c r="F345" i="9" s="1"/>
  <c r="M344" i="9"/>
  <c r="H344" i="9"/>
  <c r="E344" i="9"/>
  <c r="B344" i="9"/>
  <c r="F344" i="9" s="1"/>
  <c r="M343" i="9"/>
  <c r="H343" i="9"/>
  <c r="E343" i="9"/>
  <c r="B343" i="9"/>
  <c r="F343" i="9" s="1"/>
  <c r="M342" i="9"/>
  <c r="H342" i="9"/>
  <c r="E342" i="9"/>
  <c r="B342" i="9"/>
  <c r="F342" i="9" s="1"/>
  <c r="M341" i="9"/>
  <c r="H341" i="9"/>
  <c r="E341" i="9"/>
  <c r="B341" i="9"/>
  <c r="F341" i="9" s="1"/>
  <c r="M340" i="9"/>
  <c r="H340" i="9"/>
  <c r="E340" i="9"/>
  <c r="B340" i="9"/>
  <c r="F340" i="9" s="1"/>
  <c r="M339" i="9"/>
  <c r="H339" i="9"/>
  <c r="E339" i="9"/>
  <c r="B339" i="9"/>
  <c r="F339" i="9" s="1"/>
  <c r="M338" i="9"/>
  <c r="H338" i="9"/>
  <c r="E338" i="9"/>
  <c r="B338" i="9"/>
  <c r="F338" i="9" s="1"/>
  <c r="M337" i="9"/>
  <c r="H337" i="9"/>
  <c r="E337" i="9"/>
  <c r="B337" i="9"/>
  <c r="F337" i="9" s="1"/>
  <c r="M336" i="9"/>
  <c r="H336" i="9"/>
  <c r="E336" i="9"/>
  <c r="B336" i="9"/>
  <c r="F336" i="9" s="1"/>
  <c r="M335" i="9"/>
  <c r="H335" i="9"/>
  <c r="E335" i="9"/>
  <c r="B335" i="9"/>
  <c r="F335" i="9" s="1"/>
  <c r="M334" i="9"/>
  <c r="H334" i="9"/>
  <c r="E334" i="9"/>
  <c r="B334" i="9"/>
  <c r="F334" i="9" s="1"/>
  <c r="M333" i="9"/>
  <c r="H333" i="9"/>
  <c r="E333" i="9"/>
  <c r="B333" i="9"/>
  <c r="M332" i="9"/>
  <c r="H332" i="9"/>
  <c r="F332" i="9"/>
  <c r="E332" i="9"/>
  <c r="B332" i="9"/>
  <c r="M331" i="9"/>
  <c r="H331" i="9"/>
  <c r="F331" i="9"/>
  <c r="E331" i="9"/>
  <c r="B331" i="9"/>
  <c r="M330" i="9"/>
  <c r="H330" i="9"/>
  <c r="E330" i="9"/>
  <c r="B330" i="9"/>
  <c r="F330" i="9" s="1"/>
  <c r="M329" i="9"/>
  <c r="H329" i="9"/>
  <c r="E329" i="9"/>
  <c r="B329" i="9"/>
  <c r="F329" i="9" s="1"/>
  <c r="M328" i="9"/>
  <c r="H328" i="9"/>
  <c r="E328" i="9"/>
  <c r="F328" i="9" s="1"/>
  <c r="B328" i="9"/>
  <c r="M327" i="9"/>
  <c r="H327" i="9"/>
  <c r="E327" i="9"/>
  <c r="F327" i="9" s="1"/>
  <c r="B327" i="9"/>
  <c r="M326" i="9"/>
  <c r="H326" i="9"/>
  <c r="E326" i="9"/>
  <c r="B326" i="9"/>
  <c r="F326" i="9" s="1"/>
  <c r="M325" i="9"/>
  <c r="H325" i="9"/>
  <c r="E325" i="9"/>
  <c r="B325" i="9"/>
  <c r="F325" i="9" s="1"/>
  <c r="M324" i="9"/>
  <c r="H324" i="9"/>
  <c r="E324" i="9"/>
  <c r="B324" i="9"/>
  <c r="F324" i="9" s="1"/>
  <c r="M323" i="9"/>
  <c r="H323" i="9"/>
  <c r="E323" i="9"/>
  <c r="B323" i="9"/>
  <c r="F323" i="9" s="1"/>
  <c r="M322" i="9"/>
  <c r="H322" i="9"/>
  <c r="E322" i="9"/>
  <c r="B322" i="9"/>
  <c r="F322" i="9" s="1"/>
  <c r="M321" i="9"/>
  <c r="H321" i="9"/>
  <c r="E321" i="9"/>
  <c r="B321" i="9"/>
  <c r="F321" i="9" s="1"/>
  <c r="M320" i="9"/>
  <c r="H320" i="9"/>
  <c r="E320" i="9"/>
  <c r="B320" i="9"/>
  <c r="F320" i="9" s="1"/>
  <c r="M319" i="9"/>
  <c r="H319" i="9"/>
  <c r="E319" i="9"/>
  <c r="B319" i="9"/>
  <c r="F319" i="9" s="1"/>
  <c r="M318" i="9"/>
  <c r="H318" i="9"/>
  <c r="E318" i="9"/>
  <c r="B318" i="9"/>
  <c r="F318" i="9" s="1"/>
  <c r="M317" i="9"/>
  <c r="H317" i="9"/>
  <c r="E317" i="9"/>
  <c r="B317" i="9"/>
  <c r="F317" i="9" s="1"/>
  <c r="M316" i="9"/>
  <c r="H316" i="9"/>
  <c r="F316" i="9"/>
  <c r="E316" i="9"/>
  <c r="B316" i="9"/>
  <c r="M315" i="9"/>
  <c r="H315" i="9"/>
  <c r="E315" i="9"/>
  <c r="B315" i="9"/>
  <c r="F315" i="9" s="1"/>
  <c r="M314" i="9"/>
  <c r="H314" i="9"/>
  <c r="E314" i="9"/>
  <c r="B314" i="9"/>
  <c r="F314" i="9" s="1"/>
  <c r="M313" i="9"/>
  <c r="H313" i="9"/>
  <c r="E313" i="9"/>
  <c r="B313" i="9"/>
  <c r="F313" i="9" s="1"/>
  <c r="M312" i="9"/>
  <c r="H312" i="9"/>
  <c r="E312" i="9"/>
  <c r="F312" i="9" s="1"/>
  <c r="B312" i="9"/>
  <c r="M311" i="9"/>
  <c r="H311" i="9"/>
  <c r="F311" i="9"/>
  <c r="E311" i="9"/>
  <c r="B311" i="9"/>
  <c r="M310" i="9"/>
  <c r="H310" i="9"/>
  <c r="F310" i="9"/>
  <c r="E310" i="9"/>
  <c r="B310" i="9"/>
  <c r="M309" i="9"/>
  <c r="H309" i="9"/>
  <c r="E309" i="9"/>
  <c r="B309" i="9"/>
  <c r="F309" i="9" s="1"/>
  <c r="M308" i="9"/>
  <c r="H308" i="9"/>
  <c r="E308" i="9"/>
  <c r="B308" i="9"/>
  <c r="F308" i="9" s="1"/>
  <c r="M307" i="9"/>
  <c r="H307" i="9"/>
  <c r="E307" i="9"/>
  <c r="F307" i="9" s="1"/>
  <c r="B307" i="9"/>
  <c r="M306" i="9"/>
  <c r="H306" i="9"/>
  <c r="E306" i="9"/>
  <c r="F306" i="9" s="1"/>
  <c r="B306" i="9"/>
  <c r="M305" i="9"/>
  <c r="H305" i="9"/>
  <c r="E305" i="9"/>
  <c r="B305" i="9"/>
  <c r="F305" i="9" s="1"/>
  <c r="M304" i="9"/>
  <c r="H304" i="9"/>
  <c r="E304" i="9"/>
  <c r="B304" i="9"/>
  <c r="F304" i="9" s="1"/>
  <c r="M303" i="9"/>
  <c r="H303" i="9"/>
  <c r="E303" i="9"/>
  <c r="B303" i="9"/>
  <c r="F303" i="9" s="1"/>
  <c r="M302" i="9"/>
  <c r="H302" i="9"/>
  <c r="E302" i="9"/>
  <c r="B302" i="9"/>
  <c r="F302" i="9" s="1"/>
  <c r="M301" i="9"/>
  <c r="H301" i="9"/>
  <c r="E301" i="9"/>
  <c r="B301" i="9"/>
  <c r="F301" i="9" s="1"/>
  <c r="M300" i="9"/>
  <c r="H300" i="9"/>
  <c r="E300" i="9"/>
  <c r="B300" i="9"/>
  <c r="F300" i="9" s="1"/>
  <c r="M299" i="9"/>
  <c r="H299" i="9"/>
  <c r="E299" i="9"/>
  <c r="B299" i="9"/>
  <c r="F299" i="9" s="1"/>
  <c r="M298" i="9"/>
  <c r="H298" i="9"/>
  <c r="E298" i="9"/>
  <c r="B298" i="9"/>
  <c r="F298" i="9" s="1"/>
  <c r="M297" i="9"/>
  <c r="H297" i="9"/>
  <c r="E297" i="9"/>
  <c r="B297" i="9"/>
  <c r="F297" i="9" s="1"/>
  <c r="M296" i="9"/>
  <c r="H296" i="9"/>
  <c r="E296" i="9"/>
  <c r="B296" i="9"/>
  <c r="F296" i="9" s="1"/>
  <c r="M295" i="9"/>
  <c r="H295" i="9"/>
  <c r="F295" i="9"/>
  <c r="E295" i="9"/>
  <c r="B295" i="9"/>
  <c r="M294" i="9"/>
  <c r="H294" i="9"/>
  <c r="E294" i="9"/>
  <c r="B294" i="9"/>
  <c r="F294" i="9" s="1"/>
  <c r="M293" i="9"/>
  <c r="H293" i="9"/>
  <c r="E293" i="9"/>
  <c r="B293" i="9"/>
  <c r="F293" i="9" s="1"/>
  <c r="M292" i="9"/>
  <c r="H292" i="9"/>
  <c r="E292" i="9"/>
  <c r="B292" i="9"/>
  <c r="F292" i="9" s="1"/>
  <c r="M291" i="9"/>
  <c r="H291" i="9"/>
  <c r="E291" i="9"/>
  <c r="F291" i="9" s="1"/>
  <c r="B291" i="9"/>
  <c r="M290" i="9"/>
  <c r="H290" i="9"/>
  <c r="F290" i="9"/>
  <c r="E290" i="9"/>
  <c r="B290" i="9"/>
  <c r="M289" i="9"/>
  <c r="H289" i="9"/>
  <c r="E289" i="9"/>
  <c r="B289" i="9"/>
  <c r="M288" i="9"/>
  <c r="H288" i="9"/>
  <c r="E288" i="9"/>
  <c r="B288" i="9"/>
  <c r="F288" i="9" s="1"/>
  <c r="M287" i="9"/>
  <c r="H287" i="9"/>
  <c r="E287" i="9"/>
  <c r="B287" i="9"/>
  <c r="F287" i="9" s="1"/>
  <c r="M286" i="9"/>
  <c r="H286" i="9"/>
  <c r="E286" i="9"/>
  <c r="F286" i="9" s="1"/>
  <c r="B286" i="9"/>
  <c r="M285" i="9"/>
  <c r="H285" i="9"/>
  <c r="E285" i="9"/>
  <c r="B285" i="9"/>
  <c r="F285" i="9" s="1"/>
  <c r="M284" i="9"/>
  <c r="H284" i="9"/>
  <c r="E284" i="9"/>
  <c r="B284" i="9"/>
  <c r="F284" i="9" s="1"/>
  <c r="M283" i="9"/>
  <c r="H283" i="9"/>
  <c r="F283" i="9"/>
  <c r="E283" i="9"/>
  <c r="B283" i="9"/>
  <c r="M282" i="9"/>
  <c r="H282" i="9"/>
  <c r="E282" i="9"/>
  <c r="B282" i="9"/>
  <c r="F282" i="9" s="1"/>
  <c r="M281" i="9"/>
  <c r="H281" i="9"/>
  <c r="E281" i="9"/>
  <c r="B281" i="9"/>
  <c r="F281" i="9" s="1"/>
  <c r="M280" i="9"/>
  <c r="H280" i="9"/>
  <c r="E280" i="9"/>
  <c r="B280" i="9"/>
  <c r="F280" i="9" s="1"/>
  <c r="M279" i="9"/>
  <c r="H279" i="9"/>
  <c r="E279" i="9"/>
  <c r="B279" i="9"/>
  <c r="F279" i="9" s="1"/>
  <c r="M278" i="9"/>
  <c r="H278" i="9"/>
  <c r="E278" i="9"/>
  <c r="B278" i="9"/>
  <c r="F278" i="9" s="1"/>
  <c r="M277" i="9"/>
  <c r="H277" i="9"/>
  <c r="E277" i="9"/>
  <c r="B277" i="9"/>
  <c r="F277" i="9" s="1"/>
  <c r="M276" i="9"/>
  <c r="H276" i="9"/>
  <c r="E276" i="9"/>
  <c r="B276" i="9"/>
  <c r="F276" i="9" s="1"/>
  <c r="M275" i="9"/>
  <c r="H275" i="9"/>
  <c r="E275" i="9"/>
  <c r="B275" i="9"/>
  <c r="F275" i="9" s="1"/>
  <c r="M274" i="9"/>
  <c r="H274" i="9"/>
  <c r="F274" i="9"/>
  <c r="E274" i="9"/>
  <c r="B274" i="9"/>
  <c r="M273" i="9"/>
  <c r="H273" i="9"/>
  <c r="E273" i="9"/>
  <c r="B273" i="9"/>
  <c r="F273" i="9" s="1"/>
  <c r="M272" i="9"/>
  <c r="H272" i="9"/>
  <c r="F272" i="9"/>
  <c r="E272" i="9"/>
  <c r="B272" i="9"/>
  <c r="M271" i="9"/>
  <c r="H271" i="9"/>
  <c r="E271" i="9"/>
  <c r="B271" i="9"/>
  <c r="F271" i="9" s="1"/>
  <c r="M270" i="9"/>
  <c r="H270" i="9"/>
  <c r="E270" i="9"/>
  <c r="F270" i="9" s="1"/>
  <c r="B270" i="9"/>
  <c r="M269" i="9"/>
  <c r="H269" i="9"/>
  <c r="E269" i="9"/>
  <c r="B269" i="9"/>
  <c r="M268" i="9"/>
  <c r="H268" i="9"/>
  <c r="E268" i="9"/>
  <c r="F268" i="9" s="1"/>
  <c r="B268" i="9"/>
  <c r="M267" i="9"/>
  <c r="H267" i="9"/>
  <c r="E267" i="9"/>
  <c r="B267" i="9"/>
  <c r="F267" i="9" s="1"/>
  <c r="M266" i="9"/>
  <c r="H266" i="9"/>
  <c r="E266" i="9"/>
  <c r="B266" i="9"/>
  <c r="F266" i="9" s="1"/>
  <c r="M265" i="9"/>
  <c r="H265" i="9"/>
  <c r="E265" i="9"/>
  <c r="B265" i="9"/>
  <c r="F265" i="9" s="1"/>
  <c r="M264" i="9"/>
  <c r="H264" i="9"/>
  <c r="E264" i="9"/>
  <c r="B264" i="9"/>
  <c r="F264" i="9" s="1"/>
  <c r="M263" i="9"/>
  <c r="H263" i="9"/>
  <c r="E263" i="9"/>
  <c r="B263" i="9"/>
  <c r="F263" i="9" s="1"/>
  <c r="M262" i="9"/>
  <c r="H262" i="9"/>
  <c r="F262" i="9"/>
  <c r="E262" i="9"/>
  <c r="B262" i="9"/>
  <c r="M261" i="9"/>
  <c r="H261" i="9"/>
  <c r="E261" i="9"/>
  <c r="B261" i="9"/>
  <c r="F261" i="9" s="1"/>
  <c r="M260" i="9"/>
  <c r="H260" i="9"/>
  <c r="E260" i="9"/>
  <c r="B260" i="9"/>
  <c r="F260" i="9" s="1"/>
  <c r="M259" i="9"/>
  <c r="H259" i="9"/>
  <c r="E259" i="9"/>
  <c r="B259" i="9"/>
  <c r="F259" i="9" s="1"/>
  <c r="M258" i="9"/>
  <c r="H258" i="9"/>
  <c r="E258" i="9"/>
  <c r="B258" i="9"/>
  <c r="F258" i="9" s="1"/>
  <c r="M257" i="9"/>
  <c r="H257" i="9"/>
  <c r="E257" i="9"/>
  <c r="B257" i="9"/>
  <c r="F257" i="9" s="1"/>
  <c r="M256" i="9"/>
  <c r="H256" i="9"/>
  <c r="E256" i="9"/>
  <c r="B256" i="9"/>
  <c r="F256" i="9" s="1"/>
  <c r="M255" i="9"/>
  <c r="H255" i="9"/>
  <c r="E255" i="9"/>
  <c r="B255" i="9"/>
  <c r="F255" i="9" s="1"/>
  <c r="M254" i="9"/>
  <c r="H254" i="9"/>
  <c r="E254" i="9"/>
  <c r="B254" i="9"/>
  <c r="F254" i="9" s="1"/>
  <c r="M253" i="9"/>
  <c r="H253" i="9"/>
  <c r="E253" i="9"/>
  <c r="B253" i="9"/>
  <c r="M252" i="9"/>
  <c r="H252" i="9"/>
  <c r="F252" i="9"/>
  <c r="E252" i="9"/>
  <c r="B252" i="9"/>
  <c r="M251" i="9"/>
  <c r="H251" i="9"/>
  <c r="F251" i="9"/>
  <c r="E251" i="9"/>
  <c r="B251" i="9"/>
  <c r="M250" i="9"/>
  <c r="H250" i="9"/>
  <c r="E250" i="9"/>
  <c r="B250" i="9"/>
  <c r="F250" i="9" s="1"/>
  <c r="M249" i="9"/>
  <c r="H249" i="9"/>
  <c r="E249" i="9"/>
  <c r="B249" i="9"/>
  <c r="F249" i="9" s="1"/>
  <c r="M248" i="9"/>
  <c r="H248" i="9"/>
  <c r="E248" i="9"/>
  <c r="F248" i="9" s="1"/>
  <c r="B248" i="9"/>
  <c r="M247" i="9"/>
  <c r="H247" i="9"/>
  <c r="E247" i="9"/>
  <c r="F247" i="9" s="1"/>
  <c r="B247" i="9"/>
  <c r="M246" i="9"/>
  <c r="H246" i="9"/>
  <c r="E246" i="9"/>
  <c r="B246" i="9"/>
  <c r="F246" i="9" s="1"/>
  <c r="M245" i="9"/>
  <c r="H245" i="9"/>
  <c r="E245" i="9"/>
  <c r="B245" i="9"/>
  <c r="M244" i="9"/>
  <c r="H244" i="9"/>
  <c r="E244" i="9"/>
  <c r="B244" i="9"/>
  <c r="F244" i="9" s="1"/>
  <c r="M243" i="9"/>
  <c r="H243" i="9"/>
  <c r="E243" i="9"/>
  <c r="B243" i="9"/>
  <c r="F243" i="9" s="1"/>
  <c r="M242" i="9"/>
  <c r="H242" i="9"/>
  <c r="E242" i="9"/>
  <c r="B242" i="9"/>
  <c r="F242" i="9" s="1"/>
  <c r="M241" i="9"/>
  <c r="H241" i="9"/>
  <c r="E241" i="9"/>
  <c r="B241" i="9"/>
  <c r="F241" i="9" s="1"/>
  <c r="M240" i="9"/>
  <c r="H240" i="9"/>
  <c r="E240" i="9"/>
  <c r="B240" i="9"/>
  <c r="F240" i="9" s="1"/>
  <c r="M239" i="9"/>
  <c r="H239" i="9"/>
  <c r="E239" i="9"/>
  <c r="B239" i="9"/>
  <c r="F239" i="9" s="1"/>
  <c r="M238" i="9"/>
  <c r="H238" i="9"/>
  <c r="E238" i="9"/>
  <c r="B238" i="9"/>
  <c r="F238" i="9" s="1"/>
  <c r="M237" i="9"/>
  <c r="H237" i="9"/>
  <c r="E237" i="9"/>
  <c r="B237" i="9"/>
  <c r="F237" i="9" s="1"/>
  <c r="M236" i="9"/>
  <c r="H236" i="9"/>
  <c r="F236" i="9"/>
  <c r="E236" i="9"/>
  <c r="B236" i="9"/>
  <c r="M235" i="9"/>
  <c r="H235" i="9"/>
  <c r="E235" i="9"/>
  <c r="B235" i="9"/>
  <c r="F235" i="9" s="1"/>
  <c r="M234" i="9"/>
  <c r="H234" i="9"/>
  <c r="E234" i="9"/>
  <c r="B234" i="9"/>
  <c r="F234" i="9" s="1"/>
  <c r="M233" i="9"/>
  <c r="H233" i="9"/>
  <c r="E233" i="9"/>
  <c r="B233" i="9"/>
  <c r="F233" i="9" s="1"/>
  <c r="M232" i="9"/>
  <c r="H232" i="9"/>
  <c r="E232" i="9"/>
  <c r="F232" i="9" s="1"/>
  <c r="B232" i="9"/>
  <c r="M231" i="9"/>
  <c r="H231" i="9"/>
  <c r="F231" i="9"/>
  <c r="E231" i="9"/>
  <c r="B231" i="9"/>
  <c r="M230" i="9"/>
  <c r="H230" i="9"/>
  <c r="F230" i="9"/>
  <c r="E230" i="9"/>
  <c r="B230" i="9"/>
  <c r="M229" i="9"/>
  <c r="H229" i="9"/>
  <c r="E229" i="9"/>
  <c r="B229" i="9"/>
  <c r="F229" i="9" s="1"/>
  <c r="M228" i="9"/>
  <c r="H228" i="9"/>
  <c r="E228" i="9"/>
  <c r="B228" i="9"/>
  <c r="F228" i="9" s="1"/>
  <c r="M227" i="9"/>
  <c r="H227" i="9"/>
  <c r="E227" i="9"/>
  <c r="F227" i="9" s="1"/>
  <c r="B227" i="9"/>
  <c r="M226" i="9"/>
  <c r="H226" i="9"/>
  <c r="E226" i="9"/>
  <c r="F226" i="9" s="1"/>
  <c r="B226" i="9"/>
  <c r="M225" i="9"/>
  <c r="H225" i="9"/>
  <c r="E225" i="9"/>
  <c r="B225" i="9"/>
  <c r="F225" i="9" s="1"/>
  <c r="M224" i="9"/>
  <c r="H224" i="9"/>
  <c r="F224" i="9"/>
  <c r="E224" i="9"/>
  <c r="B224" i="9"/>
  <c r="M223" i="9"/>
  <c r="H223" i="9"/>
  <c r="E223" i="9"/>
  <c r="B223" i="9"/>
  <c r="F223" i="9" s="1"/>
  <c r="M222" i="9"/>
  <c r="H222" i="9"/>
  <c r="E222" i="9"/>
  <c r="B222" i="9"/>
  <c r="F222" i="9" s="1"/>
  <c r="M221" i="9"/>
  <c r="H221" i="9"/>
  <c r="E221" i="9"/>
  <c r="B221" i="9"/>
  <c r="F221" i="9" s="1"/>
  <c r="M220" i="9"/>
  <c r="H220" i="9"/>
  <c r="E220" i="9"/>
  <c r="B220" i="9"/>
  <c r="F220" i="9" s="1"/>
  <c r="M219" i="9"/>
  <c r="H219" i="9"/>
  <c r="E219" i="9"/>
  <c r="B219" i="9"/>
  <c r="F219" i="9" s="1"/>
  <c r="M218" i="9"/>
  <c r="H218" i="9"/>
  <c r="E218" i="9"/>
  <c r="B218" i="9"/>
  <c r="F218" i="9" s="1"/>
  <c r="M217" i="9"/>
  <c r="H217" i="9"/>
  <c r="E217" i="9"/>
  <c r="B217" i="9"/>
  <c r="F217" i="9" s="1"/>
  <c r="M216" i="9"/>
  <c r="H216" i="9"/>
  <c r="E216" i="9"/>
  <c r="B216" i="9"/>
  <c r="F216" i="9" s="1"/>
  <c r="M215" i="9"/>
  <c r="H215" i="9"/>
  <c r="F215" i="9"/>
  <c r="E215" i="9"/>
  <c r="B215" i="9"/>
  <c r="M214" i="9"/>
  <c r="H214" i="9"/>
  <c r="E214" i="9"/>
  <c r="B214" i="9"/>
  <c r="F214" i="9" s="1"/>
  <c r="M213" i="9"/>
  <c r="H213" i="9"/>
  <c r="E213" i="9"/>
  <c r="B213" i="9"/>
  <c r="F213" i="9" s="1"/>
  <c r="M212" i="9"/>
  <c r="H212" i="9"/>
  <c r="E212" i="9"/>
  <c r="B212" i="9"/>
  <c r="F212" i="9" s="1"/>
  <c r="M211" i="9"/>
  <c r="H211" i="9"/>
  <c r="E211" i="9"/>
  <c r="F211" i="9" s="1"/>
  <c r="B211" i="9"/>
  <c r="M210" i="9"/>
  <c r="H210" i="9"/>
  <c r="F210" i="9"/>
  <c r="E210" i="9"/>
  <c r="B210" i="9"/>
  <c r="M209" i="9"/>
  <c r="H209" i="9"/>
  <c r="E209" i="9"/>
  <c r="B209" i="9"/>
  <c r="M208" i="9"/>
  <c r="H208" i="9"/>
  <c r="E208" i="9"/>
  <c r="B208" i="9"/>
  <c r="F208" i="9" s="1"/>
  <c r="M207" i="9"/>
  <c r="H207" i="9"/>
  <c r="F207" i="9"/>
  <c r="E207" i="9"/>
  <c r="B207" i="9"/>
  <c r="M206" i="9"/>
  <c r="H206" i="9"/>
  <c r="E206" i="9"/>
  <c r="F206" i="9" s="1"/>
  <c r="B206" i="9"/>
  <c r="M205" i="9"/>
  <c r="H205" i="9"/>
  <c r="E205" i="9"/>
  <c r="B205" i="9"/>
  <c r="F205" i="9" s="1"/>
  <c r="M204" i="9"/>
  <c r="H204" i="9"/>
  <c r="E204" i="9"/>
  <c r="B204" i="9"/>
  <c r="F204" i="9" s="1"/>
  <c r="M203" i="9"/>
  <c r="H203" i="9"/>
  <c r="E203" i="9"/>
  <c r="B203" i="9"/>
  <c r="F203" i="9" s="1"/>
  <c r="M202" i="9"/>
  <c r="H202" i="9"/>
  <c r="E202" i="9"/>
  <c r="B202" i="9"/>
  <c r="F202" i="9" s="1"/>
  <c r="M201" i="9"/>
  <c r="H201" i="9"/>
  <c r="E201" i="9"/>
  <c r="B201" i="9"/>
  <c r="F201" i="9" s="1"/>
  <c r="M200" i="9"/>
  <c r="H200" i="9"/>
  <c r="E200" i="9"/>
  <c r="B200" i="9"/>
  <c r="F200" i="9" s="1"/>
  <c r="M199" i="9"/>
  <c r="H199" i="9"/>
  <c r="E199" i="9"/>
  <c r="B199" i="9"/>
  <c r="F199" i="9" s="1"/>
  <c r="M198" i="9"/>
  <c r="H198" i="9"/>
  <c r="E198" i="9"/>
  <c r="B198" i="9"/>
  <c r="F198" i="9" s="1"/>
  <c r="M197" i="9"/>
  <c r="H197" i="9"/>
  <c r="E197" i="9"/>
  <c r="B197" i="9"/>
  <c r="F197" i="9" s="1"/>
  <c r="M196" i="9"/>
  <c r="H196" i="9"/>
  <c r="E196" i="9"/>
  <c r="B196" i="9"/>
  <c r="F196" i="9" s="1"/>
  <c r="M195" i="9"/>
  <c r="H195" i="9"/>
  <c r="E195" i="9"/>
  <c r="B195" i="9"/>
  <c r="F195" i="9" s="1"/>
  <c r="M194" i="9"/>
  <c r="H194" i="9"/>
  <c r="F194" i="9"/>
  <c r="E194" i="9"/>
  <c r="B194" i="9"/>
  <c r="M193" i="9"/>
  <c r="H193" i="9"/>
  <c r="E193" i="9"/>
  <c r="B193" i="9"/>
  <c r="F193" i="9" s="1"/>
  <c r="M192" i="9"/>
  <c r="H192" i="9"/>
  <c r="F192" i="9"/>
  <c r="E192" i="9"/>
  <c r="B192" i="9"/>
  <c r="M191" i="9"/>
  <c r="H191" i="9"/>
  <c r="E191" i="9"/>
  <c r="B191" i="9"/>
  <c r="F191" i="9" s="1"/>
  <c r="M190" i="9"/>
  <c r="H190" i="9"/>
  <c r="E190" i="9"/>
  <c r="F190" i="9" s="1"/>
  <c r="B190" i="9"/>
  <c r="M189" i="9"/>
  <c r="H189" i="9"/>
  <c r="E189" i="9"/>
  <c r="B189" i="9"/>
  <c r="M188" i="9"/>
  <c r="H188" i="9"/>
  <c r="E188" i="9"/>
  <c r="F188" i="9" s="1"/>
  <c r="B188" i="9"/>
  <c r="M187" i="9"/>
  <c r="H187" i="9"/>
  <c r="E187" i="9"/>
  <c r="B187" i="9"/>
  <c r="F187" i="9" s="1"/>
  <c r="M186" i="9"/>
  <c r="H186" i="9"/>
  <c r="E186" i="9"/>
  <c r="B186" i="9"/>
  <c r="F186" i="9" s="1"/>
  <c r="M185" i="9"/>
  <c r="H185" i="9"/>
  <c r="E185" i="9"/>
  <c r="B185" i="9"/>
  <c r="F185" i="9" s="1"/>
  <c r="M184" i="9"/>
  <c r="H184" i="9"/>
  <c r="E184" i="9"/>
  <c r="B184" i="9"/>
  <c r="F184" i="9" s="1"/>
  <c r="M183" i="9"/>
  <c r="H183" i="9"/>
  <c r="E183" i="9"/>
  <c r="B183" i="9"/>
  <c r="F183" i="9" s="1"/>
  <c r="M182" i="9"/>
  <c r="H182" i="9"/>
  <c r="E182" i="9"/>
  <c r="B182" i="9"/>
  <c r="F182" i="9" s="1"/>
  <c r="M181" i="9"/>
  <c r="H181" i="9"/>
  <c r="E181" i="9"/>
  <c r="B181" i="9"/>
  <c r="F181" i="9" s="1"/>
  <c r="M180" i="9"/>
  <c r="H180" i="9"/>
  <c r="E180" i="9"/>
  <c r="B180" i="9"/>
  <c r="F180" i="9" s="1"/>
  <c r="M179" i="9"/>
  <c r="H179" i="9"/>
  <c r="E179" i="9"/>
  <c r="B179" i="9"/>
  <c r="F179" i="9" s="1"/>
  <c r="M178" i="9"/>
  <c r="H178" i="9"/>
  <c r="E178" i="9"/>
  <c r="B178" i="9"/>
  <c r="F178" i="9" s="1"/>
  <c r="M177" i="9"/>
  <c r="H177" i="9"/>
  <c r="E177" i="9"/>
  <c r="B177" i="9"/>
  <c r="F177" i="9" s="1"/>
  <c r="M176" i="9"/>
  <c r="H176" i="9"/>
  <c r="E176" i="9"/>
  <c r="B176" i="9"/>
  <c r="F176" i="9" s="1"/>
  <c r="M175" i="9"/>
  <c r="H175" i="9"/>
  <c r="E175" i="9"/>
  <c r="B175" i="9"/>
  <c r="F175" i="9" s="1"/>
  <c r="M174" i="9"/>
  <c r="H174" i="9"/>
  <c r="E174" i="9"/>
  <c r="B174" i="9"/>
  <c r="F174" i="9" s="1"/>
  <c r="M173" i="9"/>
  <c r="H173" i="9"/>
  <c r="E173" i="9"/>
  <c r="B173" i="9"/>
  <c r="M172" i="9"/>
  <c r="H172" i="9"/>
  <c r="F172" i="9"/>
  <c r="E172" i="9"/>
  <c r="B172" i="9"/>
  <c r="M171" i="9"/>
  <c r="H171" i="9"/>
  <c r="F171" i="9"/>
  <c r="E171" i="9"/>
  <c r="B171" i="9"/>
  <c r="M170" i="9"/>
  <c r="H170" i="9"/>
  <c r="E170" i="9"/>
  <c r="B170" i="9"/>
  <c r="F170" i="9" s="1"/>
  <c r="M169" i="9"/>
  <c r="H169" i="9"/>
  <c r="E169" i="9"/>
  <c r="F169" i="9" s="1"/>
  <c r="B169" i="9"/>
  <c r="M168" i="9"/>
  <c r="H168" i="9"/>
  <c r="F168" i="9"/>
  <c r="E168" i="9"/>
  <c r="B168" i="9"/>
  <c r="M167" i="9"/>
  <c r="H167" i="9"/>
  <c r="F167" i="9"/>
  <c r="E167" i="9"/>
  <c r="B167" i="9"/>
  <c r="M166" i="9"/>
  <c r="H166" i="9"/>
  <c r="E166" i="9"/>
  <c r="B166" i="9"/>
  <c r="F166" i="9" s="1"/>
  <c r="M165" i="9"/>
  <c r="H165" i="9"/>
  <c r="F165" i="9"/>
  <c r="E165" i="9"/>
  <c r="B165" i="9"/>
  <c r="M164" i="9"/>
  <c r="H164" i="9"/>
  <c r="F164" i="9"/>
  <c r="E164" i="9"/>
  <c r="B164" i="9"/>
  <c r="M163" i="9"/>
  <c r="H163" i="9"/>
  <c r="F163" i="9"/>
  <c r="E163" i="9"/>
  <c r="B163" i="9"/>
  <c r="M162" i="9"/>
  <c r="H162" i="9"/>
  <c r="E162" i="9"/>
  <c r="B162" i="9"/>
  <c r="F162" i="9" s="1"/>
  <c r="M161" i="9"/>
  <c r="H161" i="9"/>
  <c r="F161" i="9"/>
  <c r="E161" i="9"/>
  <c r="B161" i="9"/>
  <c r="M160" i="9"/>
  <c r="H160" i="9"/>
  <c r="F160" i="9"/>
  <c r="E160" i="9"/>
  <c r="B160" i="9"/>
  <c r="M159" i="9"/>
  <c r="H159" i="9"/>
  <c r="F159" i="9"/>
  <c r="E159" i="9"/>
  <c r="B159" i="9"/>
  <c r="M158" i="9"/>
  <c r="H158" i="9"/>
  <c r="E158" i="9"/>
  <c r="B158" i="9"/>
  <c r="F158" i="9" s="1"/>
  <c r="M157" i="9"/>
  <c r="H157" i="9"/>
  <c r="E157" i="9"/>
  <c r="F157" i="9" s="1"/>
  <c r="B157" i="9"/>
  <c r="M156" i="9"/>
  <c r="H156" i="9"/>
  <c r="F156" i="9"/>
  <c r="E156" i="9"/>
  <c r="B156" i="9"/>
  <c r="M155" i="9"/>
  <c r="H155" i="9"/>
  <c r="F155" i="9"/>
  <c r="E155" i="9"/>
  <c r="B155" i="9"/>
  <c r="M154" i="9"/>
  <c r="H154" i="9"/>
  <c r="E154" i="9"/>
  <c r="B154" i="9"/>
  <c r="F154" i="9" s="1"/>
  <c r="M153" i="9"/>
  <c r="H153" i="9"/>
  <c r="E153" i="9"/>
  <c r="F153" i="9" s="1"/>
  <c r="B153" i="9"/>
  <c r="M152" i="9"/>
  <c r="H152" i="9"/>
  <c r="F152" i="9"/>
  <c r="E152" i="9"/>
  <c r="B152" i="9"/>
  <c r="M151" i="9"/>
  <c r="H151" i="9"/>
  <c r="F151" i="9"/>
  <c r="E151" i="9"/>
  <c r="B151" i="9"/>
  <c r="M150" i="9"/>
  <c r="H150" i="9"/>
  <c r="E150" i="9"/>
  <c r="B150" i="9"/>
  <c r="F150" i="9" s="1"/>
  <c r="M149" i="9"/>
  <c r="H149" i="9"/>
  <c r="E149" i="9"/>
  <c r="F149" i="9" s="1"/>
  <c r="B149" i="9"/>
  <c r="M148" i="9"/>
  <c r="H148" i="9"/>
  <c r="F148" i="9"/>
  <c r="E148" i="9"/>
  <c r="B148" i="9"/>
  <c r="M147" i="9"/>
  <c r="H147" i="9"/>
  <c r="F147" i="9"/>
  <c r="E147" i="9"/>
  <c r="B147" i="9"/>
  <c r="M146" i="9"/>
  <c r="H146" i="9"/>
  <c r="E146" i="9"/>
  <c r="B146" i="9"/>
  <c r="F146" i="9" s="1"/>
  <c r="M145" i="9"/>
  <c r="H145" i="9"/>
  <c r="E145" i="9"/>
  <c r="F145" i="9" s="1"/>
  <c r="B145" i="9"/>
  <c r="M144" i="9"/>
  <c r="H144" i="9"/>
  <c r="F144" i="9"/>
  <c r="E144" i="9"/>
  <c r="B144" i="9"/>
  <c r="M143" i="9"/>
  <c r="H143" i="9"/>
  <c r="F143" i="9"/>
  <c r="E143" i="9"/>
  <c r="B143" i="9"/>
  <c r="M142" i="9"/>
  <c r="H142" i="9"/>
  <c r="E142" i="9"/>
  <c r="B142" i="9"/>
  <c r="F142" i="9" s="1"/>
  <c r="M141" i="9"/>
  <c r="H141" i="9"/>
  <c r="E141" i="9"/>
  <c r="F141" i="9" s="1"/>
  <c r="B141" i="9"/>
  <c r="M140" i="9"/>
  <c r="H140" i="9"/>
  <c r="F140" i="9"/>
  <c r="E140" i="9"/>
  <c r="B140" i="9"/>
  <c r="M139" i="9"/>
  <c r="H139" i="9"/>
  <c r="F139" i="9"/>
  <c r="E139" i="9"/>
  <c r="B139" i="9"/>
  <c r="M138" i="9"/>
  <c r="H138" i="9"/>
  <c r="E138" i="9"/>
  <c r="B138" i="9"/>
  <c r="F138" i="9" s="1"/>
  <c r="M137" i="9"/>
  <c r="H137" i="9"/>
  <c r="E137" i="9"/>
  <c r="F137" i="9" s="1"/>
  <c r="B137" i="9"/>
  <c r="M136" i="9"/>
  <c r="H136" i="9"/>
  <c r="F136" i="9"/>
  <c r="E136" i="9"/>
  <c r="B136" i="9"/>
  <c r="M135" i="9"/>
  <c r="H135" i="9"/>
  <c r="F135" i="9"/>
  <c r="E135" i="9"/>
  <c r="B135" i="9"/>
  <c r="M134" i="9"/>
  <c r="H134" i="9"/>
  <c r="E134" i="9"/>
  <c r="B134" i="9"/>
  <c r="F134" i="9" s="1"/>
  <c r="M133" i="9"/>
  <c r="H133" i="9"/>
  <c r="E133" i="9"/>
  <c r="F133" i="9" s="1"/>
  <c r="B133" i="9"/>
  <c r="M132" i="9"/>
  <c r="H132" i="9"/>
  <c r="F132" i="9"/>
  <c r="E132" i="9"/>
  <c r="B132" i="9"/>
  <c r="M131" i="9"/>
  <c r="H131" i="9"/>
  <c r="F131" i="9"/>
  <c r="E131" i="9"/>
  <c r="B131" i="9"/>
  <c r="M130" i="9"/>
  <c r="H130" i="9"/>
  <c r="E130" i="9"/>
  <c r="B130" i="9"/>
  <c r="F130" i="9" s="1"/>
  <c r="M129" i="9"/>
  <c r="H129" i="9"/>
  <c r="E129" i="9"/>
  <c r="F129" i="9" s="1"/>
  <c r="B129" i="9"/>
  <c r="M128" i="9"/>
  <c r="H128" i="9"/>
  <c r="F128" i="9"/>
  <c r="E128" i="9"/>
  <c r="B128" i="9"/>
  <c r="M127" i="9"/>
  <c r="H127" i="9"/>
  <c r="F127" i="9"/>
  <c r="E127" i="9"/>
  <c r="B127" i="9"/>
  <c r="M126" i="9"/>
  <c r="H126" i="9"/>
  <c r="E126" i="9"/>
  <c r="B126" i="9"/>
  <c r="F126" i="9" s="1"/>
  <c r="M125" i="9"/>
  <c r="H125" i="9"/>
  <c r="E125" i="9"/>
  <c r="F125" i="9" s="1"/>
  <c r="B125" i="9"/>
  <c r="M124" i="9"/>
  <c r="H124" i="9"/>
  <c r="F124" i="9"/>
  <c r="E124" i="9"/>
  <c r="B124" i="9"/>
  <c r="M123" i="9"/>
  <c r="H123" i="9"/>
  <c r="F123" i="9"/>
  <c r="E123" i="9"/>
  <c r="B123" i="9"/>
  <c r="M122" i="9"/>
  <c r="H122" i="9"/>
  <c r="E122" i="9"/>
  <c r="B122" i="9"/>
  <c r="F122" i="9" s="1"/>
  <c r="M121" i="9"/>
  <c r="H121" i="9"/>
  <c r="E121" i="9"/>
  <c r="F121" i="9" s="1"/>
  <c r="B121" i="9"/>
  <c r="M120" i="9"/>
  <c r="H120" i="9"/>
  <c r="F120" i="9"/>
  <c r="E120" i="9"/>
  <c r="B120" i="9"/>
  <c r="M119" i="9"/>
  <c r="H119" i="9"/>
  <c r="F119" i="9"/>
  <c r="E119" i="9"/>
  <c r="B119" i="9"/>
  <c r="M118" i="9"/>
  <c r="H118" i="9"/>
  <c r="E118" i="9"/>
  <c r="B118" i="9"/>
  <c r="F118" i="9" s="1"/>
  <c r="M117" i="9"/>
  <c r="H117" i="9"/>
  <c r="F117" i="9"/>
  <c r="E117" i="9"/>
  <c r="B117" i="9"/>
  <c r="M116" i="9"/>
  <c r="H116" i="9"/>
  <c r="F116" i="9"/>
  <c r="E116" i="9"/>
  <c r="B116" i="9"/>
  <c r="M115" i="9"/>
  <c r="H115" i="9"/>
  <c r="F115" i="9"/>
  <c r="E115" i="9"/>
  <c r="B115" i="9"/>
  <c r="M114" i="9"/>
  <c r="H114" i="9"/>
  <c r="E114" i="9"/>
  <c r="B114" i="9"/>
  <c r="F114" i="9" s="1"/>
  <c r="M113" i="9"/>
  <c r="H113" i="9"/>
  <c r="E113" i="9"/>
  <c r="F113" i="9" s="1"/>
  <c r="B113" i="9"/>
  <c r="M112" i="9"/>
  <c r="H112" i="9"/>
  <c r="F112" i="9"/>
  <c r="E112" i="9"/>
  <c r="B112" i="9"/>
  <c r="M111" i="9"/>
  <c r="H111" i="9"/>
  <c r="F111" i="9"/>
  <c r="E111" i="9"/>
  <c r="B111" i="9"/>
  <c r="M110" i="9"/>
  <c r="H110" i="9"/>
  <c r="E110" i="9"/>
  <c r="B110" i="9"/>
  <c r="F110" i="9" s="1"/>
  <c r="M109" i="9"/>
  <c r="H109" i="9"/>
  <c r="E109" i="9"/>
  <c r="F109" i="9" s="1"/>
  <c r="B109" i="9"/>
  <c r="M108" i="9"/>
  <c r="H108" i="9"/>
  <c r="F108" i="9"/>
  <c r="E108" i="9"/>
  <c r="B108" i="9"/>
  <c r="M107" i="9"/>
  <c r="H107" i="9"/>
  <c r="F107" i="9"/>
  <c r="E107" i="9"/>
  <c r="B107" i="9"/>
  <c r="M106" i="9"/>
  <c r="H106" i="9"/>
  <c r="E106" i="9"/>
  <c r="B106" i="9"/>
  <c r="F106" i="9" s="1"/>
  <c r="M105" i="9"/>
  <c r="H105" i="9"/>
  <c r="E105" i="9"/>
  <c r="F105" i="9" s="1"/>
  <c r="B105" i="9"/>
  <c r="M104" i="9"/>
  <c r="H104" i="9"/>
  <c r="F104" i="9"/>
  <c r="E104" i="9"/>
  <c r="B104" i="9"/>
  <c r="M103" i="9"/>
  <c r="H103" i="9"/>
  <c r="F103" i="9"/>
  <c r="E103" i="9"/>
  <c r="B103" i="9"/>
  <c r="M102" i="9"/>
  <c r="H102" i="9"/>
  <c r="E102" i="9"/>
  <c r="B102" i="9"/>
  <c r="F102" i="9" s="1"/>
  <c r="M101" i="9"/>
  <c r="H101" i="9"/>
  <c r="E101" i="9"/>
  <c r="F101" i="9" s="1"/>
  <c r="B101" i="9"/>
  <c r="M100" i="9"/>
  <c r="H100" i="9"/>
  <c r="F100" i="9"/>
  <c r="E100" i="9"/>
  <c r="B100" i="9"/>
  <c r="M99" i="9"/>
  <c r="H99" i="9"/>
  <c r="F99" i="9"/>
  <c r="E99" i="9"/>
  <c r="B99" i="9"/>
  <c r="M98" i="9"/>
  <c r="H98" i="9"/>
  <c r="E98" i="9"/>
  <c r="B98" i="9"/>
  <c r="F98" i="9" s="1"/>
  <c r="M97" i="9"/>
  <c r="H97" i="9"/>
  <c r="E97" i="9"/>
  <c r="F97" i="9" s="1"/>
  <c r="B97" i="9"/>
  <c r="M96" i="9"/>
  <c r="H96" i="9"/>
  <c r="F96" i="9"/>
  <c r="E96" i="9"/>
  <c r="B96" i="9"/>
  <c r="M95" i="9"/>
  <c r="H95" i="9"/>
  <c r="F95" i="9"/>
  <c r="E95" i="9"/>
  <c r="B95" i="9"/>
  <c r="M94" i="9"/>
  <c r="H94" i="9"/>
  <c r="E94" i="9"/>
  <c r="B94" i="9"/>
  <c r="F94" i="9" s="1"/>
  <c r="M93" i="9"/>
  <c r="H93" i="9"/>
  <c r="E93" i="9"/>
  <c r="F93" i="9" s="1"/>
  <c r="B93" i="9"/>
  <c r="M92" i="9"/>
  <c r="H92" i="9"/>
  <c r="F92" i="9"/>
  <c r="E92" i="9"/>
  <c r="B92" i="9"/>
  <c r="M91" i="9"/>
  <c r="H91" i="9"/>
  <c r="F91" i="9"/>
  <c r="E91" i="9"/>
  <c r="B91" i="9"/>
  <c r="M90" i="9"/>
  <c r="H90" i="9"/>
  <c r="E90" i="9"/>
  <c r="B90" i="9"/>
  <c r="F90" i="9" s="1"/>
  <c r="M89" i="9"/>
  <c r="H89" i="9"/>
  <c r="E89" i="9"/>
  <c r="F89" i="9" s="1"/>
  <c r="B89" i="9"/>
  <c r="M88" i="9"/>
  <c r="H88" i="9"/>
  <c r="F88" i="9"/>
  <c r="E88" i="9"/>
  <c r="B88" i="9"/>
  <c r="M87" i="9"/>
  <c r="H87" i="9"/>
  <c r="F87" i="9"/>
  <c r="E87" i="9"/>
  <c r="B87" i="9"/>
  <c r="M86" i="9"/>
  <c r="H86" i="9"/>
  <c r="E86" i="9"/>
  <c r="B86" i="9"/>
  <c r="F86" i="9" s="1"/>
  <c r="M85" i="9"/>
  <c r="H85" i="9"/>
  <c r="F85" i="9"/>
  <c r="E85" i="9"/>
  <c r="B85" i="9"/>
  <c r="M84" i="9"/>
  <c r="H84" i="9"/>
  <c r="F84" i="9"/>
  <c r="E84" i="9"/>
  <c r="B84" i="9"/>
  <c r="M83" i="9"/>
  <c r="H83" i="9"/>
  <c r="F83" i="9"/>
  <c r="E83" i="9"/>
  <c r="B83" i="9"/>
  <c r="M82" i="9"/>
  <c r="H82" i="9"/>
  <c r="E82" i="9"/>
  <c r="B82" i="9"/>
  <c r="F82" i="9" s="1"/>
  <c r="M81" i="9"/>
  <c r="H81" i="9"/>
  <c r="F81" i="9"/>
  <c r="E81" i="9"/>
  <c r="B81" i="9"/>
  <c r="M80" i="9"/>
  <c r="H80" i="9"/>
  <c r="F80" i="9"/>
  <c r="E80" i="9"/>
  <c r="B80" i="9"/>
  <c r="M79" i="9"/>
  <c r="H79" i="9"/>
  <c r="F79" i="9"/>
  <c r="E79" i="9"/>
  <c r="B79" i="9"/>
  <c r="M78" i="9"/>
  <c r="H78" i="9"/>
  <c r="E78" i="9"/>
  <c r="B78" i="9"/>
  <c r="F78" i="9" s="1"/>
  <c r="M77" i="9"/>
  <c r="H77" i="9"/>
  <c r="E77" i="9"/>
  <c r="F77" i="9" s="1"/>
  <c r="B77" i="9"/>
  <c r="M76" i="9"/>
  <c r="H76" i="9"/>
  <c r="F76" i="9"/>
  <c r="E76" i="9"/>
  <c r="B76" i="9"/>
  <c r="M75" i="9"/>
  <c r="H75" i="9"/>
  <c r="F75" i="9"/>
  <c r="E75" i="9"/>
  <c r="B75" i="9"/>
  <c r="M74" i="9"/>
  <c r="H74" i="9"/>
  <c r="E74" i="9"/>
  <c r="B74" i="9"/>
  <c r="F74" i="9" s="1"/>
  <c r="M73" i="9"/>
  <c r="H73" i="9"/>
  <c r="E73" i="9"/>
  <c r="F73" i="9" s="1"/>
  <c r="B73" i="9"/>
  <c r="M72" i="9"/>
  <c r="H72" i="9"/>
  <c r="F72" i="9"/>
  <c r="E72" i="9"/>
  <c r="B72" i="9"/>
  <c r="M71" i="9"/>
  <c r="H71" i="9"/>
  <c r="F71" i="9"/>
  <c r="E71" i="9"/>
  <c r="B71" i="9"/>
  <c r="M70" i="9"/>
  <c r="H70" i="9"/>
  <c r="E70" i="9"/>
  <c r="B70" i="9"/>
  <c r="F70" i="9" s="1"/>
  <c r="M69" i="9"/>
  <c r="H69" i="9"/>
  <c r="E69" i="9"/>
  <c r="F69" i="9" s="1"/>
  <c r="B69" i="9"/>
  <c r="M68" i="9"/>
  <c r="H68" i="9"/>
  <c r="F68" i="9"/>
  <c r="E68" i="9"/>
  <c r="B68" i="9"/>
  <c r="M67" i="9"/>
  <c r="H67" i="9"/>
  <c r="F67" i="9"/>
  <c r="E67" i="9"/>
  <c r="B67" i="9"/>
  <c r="M66" i="9"/>
  <c r="H66" i="9"/>
  <c r="E66" i="9"/>
  <c r="B66" i="9"/>
  <c r="F66" i="9" s="1"/>
  <c r="M65" i="9"/>
  <c r="H65" i="9"/>
  <c r="E65" i="9"/>
  <c r="F65" i="9" s="1"/>
  <c r="B65" i="9"/>
  <c r="M64" i="9"/>
  <c r="H64" i="9"/>
  <c r="F64" i="9"/>
  <c r="E64" i="9"/>
  <c r="B64" i="9"/>
  <c r="M63" i="9"/>
  <c r="H63" i="9"/>
  <c r="F63" i="9"/>
  <c r="E63" i="9"/>
  <c r="B63" i="9"/>
  <c r="M62" i="9"/>
  <c r="H62" i="9"/>
  <c r="E62" i="9"/>
  <c r="B62" i="9"/>
  <c r="F62" i="9" s="1"/>
  <c r="M61" i="9"/>
  <c r="H61" i="9"/>
  <c r="E61" i="9"/>
  <c r="F61" i="9" s="1"/>
  <c r="B61" i="9"/>
  <c r="M60" i="9"/>
  <c r="H60" i="9"/>
  <c r="F60" i="9"/>
  <c r="E60" i="9"/>
  <c r="B60" i="9"/>
  <c r="M59" i="9"/>
  <c r="H59" i="9"/>
  <c r="F59" i="9"/>
  <c r="E59" i="9"/>
  <c r="B59" i="9"/>
  <c r="M58" i="9"/>
  <c r="H58" i="9"/>
  <c r="E58" i="9"/>
  <c r="B58" i="9"/>
  <c r="F58" i="9" s="1"/>
  <c r="M57" i="9"/>
  <c r="H57" i="9"/>
  <c r="E57" i="9"/>
  <c r="F57" i="9" s="1"/>
  <c r="B57" i="9"/>
  <c r="M56" i="9"/>
  <c r="H56" i="9"/>
  <c r="F56" i="9"/>
  <c r="E56" i="9"/>
  <c r="B56" i="9"/>
  <c r="M55" i="9"/>
  <c r="H55" i="9"/>
  <c r="F55" i="9"/>
  <c r="E55" i="9"/>
  <c r="B55" i="9"/>
  <c r="M54" i="9"/>
  <c r="H54" i="9"/>
  <c r="E54" i="9"/>
  <c r="B54" i="9"/>
  <c r="F54" i="9" s="1"/>
  <c r="M53" i="9"/>
  <c r="H53" i="9"/>
  <c r="E53" i="9"/>
  <c r="F53" i="9" s="1"/>
  <c r="B53" i="9"/>
  <c r="M52" i="9"/>
  <c r="H52" i="9"/>
  <c r="F52" i="9"/>
  <c r="E52" i="9"/>
  <c r="B52" i="9"/>
  <c r="M51" i="9"/>
  <c r="H51" i="9"/>
  <c r="F51" i="9"/>
  <c r="E51" i="9"/>
  <c r="B51" i="9"/>
  <c r="M50" i="9"/>
  <c r="H50" i="9"/>
  <c r="E50" i="9"/>
  <c r="B50" i="9"/>
  <c r="F50" i="9" s="1"/>
  <c r="M49" i="9"/>
  <c r="H49" i="9"/>
  <c r="E49" i="9"/>
  <c r="F49" i="9" s="1"/>
  <c r="B49" i="9"/>
  <c r="M48" i="9"/>
  <c r="H48" i="9"/>
  <c r="F48" i="9"/>
  <c r="E48" i="9"/>
  <c r="B48" i="9"/>
  <c r="M47" i="9"/>
  <c r="H47" i="9"/>
  <c r="F47" i="9"/>
  <c r="E47" i="9"/>
  <c r="B47" i="9"/>
  <c r="M46" i="9"/>
  <c r="H46" i="9"/>
  <c r="E46" i="9"/>
  <c r="B46" i="9"/>
  <c r="F46" i="9" s="1"/>
  <c r="M45" i="9"/>
  <c r="H45" i="9"/>
  <c r="E45" i="9"/>
  <c r="F45" i="9" s="1"/>
  <c r="B45" i="9"/>
  <c r="M44" i="9"/>
  <c r="H44" i="9"/>
  <c r="F44" i="9"/>
  <c r="E44" i="9"/>
  <c r="B44" i="9"/>
  <c r="M43" i="9"/>
  <c r="H43" i="9"/>
  <c r="F43" i="9"/>
  <c r="E43" i="9"/>
  <c r="B43" i="9"/>
  <c r="M42" i="9"/>
  <c r="H42" i="9"/>
  <c r="E42" i="9"/>
  <c r="B42" i="9"/>
  <c r="F42" i="9" s="1"/>
  <c r="M41" i="9"/>
  <c r="H41" i="9"/>
  <c r="E41" i="9"/>
  <c r="F41" i="9" s="1"/>
  <c r="B41" i="9"/>
  <c r="M40" i="9"/>
  <c r="H40" i="9"/>
  <c r="F40" i="9"/>
  <c r="E40" i="9"/>
  <c r="B40" i="9"/>
  <c r="M39" i="9"/>
  <c r="H39" i="9"/>
  <c r="F39" i="9"/>
  <c r="E39" i="9"/>
  <c r="B39" i="9"/>
  <c r="M38" i="9"/>
  <c r="H38" i="9"/>
  <c r="E38" i="9"/>
  <c r="B38" i="9"/>
  <c r="F38" i="9" s="1"/>
  <c r="M37" i="9"/>
  <c r="H37" i="9"/>
  <c r="F37" i="9"/>
  <c r="E37" i="9"/>
  <c r="B37" i="9"/>
  <c r="M36" i="9"/>
  <c r="H36" i="9"/>
  <c r="F36" i="9"/>
  <c r="E36" i="9"/>
  <c r="B36" i="9"/>
  <c r="M35" i="9"/>
  <c r="H35" i="9"/>
  <c r="F35" i="9"/>
  <c r="E35" i="9"/>
  <c r="B35" i="9"/>
  <c r="M34" i="9"/>
  <c r="H34" i="9"/>
  <c r="E34" i="9"/>
  <c r="B34" i="9"/>
  <c r="F34" i="9" s="1"/>
  <c r="M33" i="9"/>
  <c r="H33" i="9"/>
  <c r="E33" i="9"/>
  <c r="F33" i="9" s="1"/>
  <c r="B33" i="9"/>
  <c r="M32" i="9"/>
  <c r="H32" i="9"/>
  <c r="F32" i="9"/>
  <c r="E32" i="9"/>
  <c r="B32" i="9"/>
  <c r="M31" i="9"/>
  <c r="H31" i="9"/>
  <c r="F31" i="9"/>
  <c r="E31" i="9"/>
  <c r="B31" i="9"/>
  <c r="M30" i="9"/>
  <c r="H30" i="9"/>
  <c r="E30" i="9"/>
  <c r="B30" i="9"/>
  <c r="F30" i="9" s="1"/>
  <c r="M29" i="9"/>
  <c r="H29" i="9"/>
  <c r="E29" i="9"/>
  <c r="F29" i="9" s="1"/>
  <c r="B29" i="9"/>
  <c r="M28" i="9"/>
  <c r="H28" i="9"/>
  <c r="F28" i="9"/>
  <c r="E28" i="9"/>
  <c r="B28" i="9"/>
  <c r="M27" i="9"/>
  <c r="H27" i="9"/>
  <c r="F27" i="9"/>
  <c r="E27" i="9"/>
  <c r="B27" i="9"/>
  <c r="M26" i="9"/>
  <c r="H26" i="9"/>
  <c r="E26" i="9"/>
  <c r="B26" i="9"/>
  <c r="F26" i="9" s="1"/>
  <c r="M25" i="9"/>
  <c r="H25" i="9"/>
  <c r="E25" i="9"/>
  <c r="F25" i="9" s="1"/>
  <c r="B25" i="9"/>
  <c r="M24" i="9"/>
  <c r="H24" i="9"/>
  <c r="F24" i="9"/>
  <c r="E24" i="9"/>
  <c r="B24" i="9"/>
  <c r="M23" i="9"/>
  <c r="H23" i="9"/>
  <c r="F23" i="9"/>
  <c r="E23" i="9"/>
  <c r="B23" i="9"/>
  <c r="M22" i="9"/>
  <c r="H22" i="9"/>
  <c r="E22" i="9"/>
  <c r="B22" i="9"/>
  <c r="F22" i="9" s="1"/>
  <c r="M21" i="9"/>
  <c r="H21" i="9"/>
  <c r="E21" i="9"/>
  <c r="F21" i="9" s="1"/>
  <c r="B21" i="9"/>
  <c r="M20" i="9"/>
  <c r="H20" i="9"/>
  <c r="F20" i="9"/>
  <c r="E20" i="9"/>
  <c r="B20" i="9"/>
  <c r="M19" i="9"/>
  <c r="H19" i="9"/>
  <c r="F19" i="9"/>
  <c r="E19" i="9"/>
  <c r="B19" i="9"/>
  <c r="M18" i="9"/>
  <c r="H18" i="9"/>
  <c r="E18" i="9"/>
  <c r="B18" i="9"/>
  <c r="F18" i="9" s="1"/>
  <c r="M17" i="9"/>
  <c r="H17" i="9"/>
  <c r="E17" i="9"/>
  <c r="F17" i="9" s="1"/>
  <c r="B17" i="9"/>
  <c r="M16" i="9"/>
  <c r="H16" i="9"/>
  <c r="F16" i="9"/>
  <c r="E16" i="9"/>
  <c r="B16" i="9"/>
  <c r="M15" i="9"/>
  <c r="H15" i="9"/>
  <c r="F15" i="9"/>
  <c r="E15" i="9"/>
  <c r="B15" i="9"/>
  <c r="M14" i="9"/>
  <c r="H14" i="9"/>
  <c r="E14" i="9"/>
  <c r="B14" i="9"/>
  <c r="F14" i="9" s="1"/>
  <c r="M13" i="9"/>
  <c r="H13" i="9"/>
  <c r="E13" i="9"/>
  <c r="F13" i="9" s="1"/>
  <c r="B13" i="9"/>
  <c r="M12" i="9"/>
  <c r="H12" i="9"/>
  <c r="F12" i="9"/>
  <c r="E12" i="9"/>
  <c r="B12" i="9"/>
  <c r="M11" i="9"/>
  <c r="H11" i="9"/>
  <c r="F11" i="9"/>
  <c r="E11" i="9"/>
  <c r="B11" i="9"/>
  <c r="M10" i="9"/>
  <c r="H10" i="9"/>
  <c r="E10" i="9"/>
  <c r="B10" i="9"/>
  <c r="F10" i="9" s="1"/>
  <c r="M9" i="9"/>
  <c r="H9" i="9"/>
  <c r="E9" i="9"/>
  <c r="F9" i="9" s="1"/>
  <c r="B9" i="9"/>
  <c r="M8" i="9"/>
  <c r="H8" i="9"/>
  <c r="F8" i="9"/>
  <c r="E8" i="9"/>
  <c r="B8" i="9"/>
  <c r="M7" i="9"/>
  <c r="H7" i="9"/>
  <c r="F7" i="9"/>
  <c r="E7" i="9"/>
  <c r="B7" i="9"/>
  <c r="M6" i="9"/>
  <c r="H6" i="9"/>
  <c r="E6" i="9"/>
  <c r="B6" i="9"/>
  <c r="F6" i="9" s="1"/>
  <c r="M5" i="9"/>
  <c r="H5" i="9"/>
  <c r="F5" i="9"/>
  <c r="E5" i="9"/>
  <c r="B5" i="9"/>
  <c r="M4" i="9"/>
  <c r="H4" i="9"/>
  <c r="F4" i="9"/>
  <c r="E4" i="9"/>
  <c r="B4" i="9"/>
  <c r="M3" i="9"/>
  <c r="H3" i="9"/>
  <c r="F3" i="9"/>
  <c r="E3" i="9"/>
  <c r="B3" i="9"/>
  <c r="M2" i="9"/>
  <c r="H2" i="9"/>
  <c r="E2" i="9"/>
  <c r="B2" i="9"/>
  <c r="F2" i="9" s="1"/>
  <c r="B8" i="6"/>
  <c r="B7" i="6"/>
  <c r="B6" i="6"/>
  <c r="E9" i="5"/>
  <c r="D9" i="5"/>
  <c r="C9" i="5"/>
  <c r="B9" i="5"/>
  <c r="E9" i="4"/>
  <c r="D9" i="4"/>
  <c r="C9" i="4"/>
  <c r="B9" i="4"/>
  <c r="E9" i="3"/>
  <c r="D9" i="3"/>
  <c r="C9" i="3"/>
  <c r="B9" i="3"/>
  <c r="F439" i="9" l="1"/>
  <c r="F245" i="9"/>
  <c r="F401" i="9"/>
  <c r="F209" i="9"/>
  <c r="F289" i="9"/>
  <c r="F369" i="9"/>
  <c r="F449" i="9"/>
  <c r="F189" i="9"/>
  <c r="F269" i="9"/>
  <c r="F349" i="9"/>
  <c r="F429" i="9"/>
  <c r="C13" i="11"/>
  <c r="C15" i="11" s="1"/>
  <c r="F173" i="9"/>
  <c r="F253" i="9"/>
  <c r="F333" i="9"/>
  <c r="F413" i="9"/>
  <c r="F49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AF4FD3-20CC-4E30-BE69-B8D38D437AD8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D75BCF4-0080-4CC3-9133-209862A29023}" name="WorksheetConnection_Advanced_Excel_Business_Analytics.xlsm!tblHR8" type="102" refreshedVersion="7" minRefreshableVersion="5">
    <extLst>
      <ext xmlns:x15="http://schemas.microsoft.com/office/spreadsheetml/2010/11/main" uri="{DE250136-89BD-433C-8126-D09CA5730AF9}">
        <x15:connection id="tblHR8">
          <x15:rangePr sourceName="_xlcn.WorksheetConnection_Advanced_Excel_Business_Analytics.xlsmtblHR81"/>
        </x15:connection>
      </ext>
    </extLst>
  </connection>
  <connection id="3" xr16:uid="{86D43672-5C5A-41F0-AE42-16644237D4EA}" name="WorksheetConnection_Advanced_Excel_Business_Analytics.xlsm!tblInventory9" type="102" refreshedVersion="7" minRefreshableVersion="5">
    <extLst>
      <ext xmlns:x15="http://schemas.microsoft.com/office/spreadsheetml/2010/11/main" uri="{DE250136-89BD-433C-8126-D09CA5730AF9}">
        <x15:connection id="tblInventory9">
          <x15:rangePr sourceName="_xlcn.WorksheetConnection_Advanced_Excel_Business_Analytics.xlsmtblInventory91"/>
        </x15:connection>
      </ext>
    </extLst>
  </connection>
  <connection id="4" xr16:uid="{CD661233-41C7-4890-BE3F-52758C01D972}" name="WorksheetConnection_Advanced_Excel_Business_Analytics.xlsm!tblSales7" type="102" refreshedVersion="7" minRefreshableVersion="5">
    <extLst>
      <ext xmlns:x15="http://schemas.microsoft.com/office/spreadsheetml/2010/11/main" uri="{DE250136-89BD-433C-8126-D09CA5730AF9}">
        <x15:connection id="tblSales7">
          <x15:rangePr sourceName="_xlcn.WorksheetConnection_Advanced_Excel_Business_Analytics.xlsmtblSales71"/>
        </x15:connection>
      </ext>
    </extLst>
  </connection>
</connections>
</file>

<file path=xl/sharedStrings.xml><?xml version="1.0" encoding="utf-8"?>
<sst xmlns="http://schemas.openxmlformats.org/spreadsheetml/2006/main" count="6014" uniqueCount="3567">
  <si>
    <t xml:space="preserve">QUESTION NUMBER </t>
  </si>
  <si>
    <t>TOPIC</t>
  </si>
  <si>
    <t>MARKS</t>
  </si>
  <si>
    <t>ANALYZE</t>
  </si>
  <si>
    <t>CONDUTIONAL FORMATTING-1</t>
  </si>
  <si>
    <t>LOGICAL OPERATION</t>
  </si>
  <si>
    <t>FORMULAS</t>
  </si>
  <si>
    <t>IF-FUNCTIONS-1</t>
  </si>
  <si>
    <t>PIVOT TABLE</t>
  </si>
  <si>
    <t>REPLACE</t>
  </si>
  <si>
    <t>IF-FUNCTIONS-2</t>
  </si>
  <si>
    <t>CONDUTIONAL FORMATTING-2</t>
  </si>
  <si>
    <t>CALCULATE</t>
  </si>
  <si>
    <t>ADVANCED LOGICAL OPERATIONS</t>
  </si>
  <si>
    <t>DATA CLEANING FREEZE FIRST ROW</t>
  </si>
  <si>
    <t>TEXT TO COLUMN</t>
  </si>
  <si>
    <t>VLOOKUP</t>
  </si>
  <si>
    <t>HLOOKUP</t>
  </si>
  <si>
    <t>CONSOLIDATE</t>
  </si>
  <si>
    <t>All Division Summary</t>
  </si>
  <si>
    <t>Item</t>
  </si>
  <si>
    <t>QTR 1</t>
  </si>
  <si>
    <t>QTR 2</t>
  </si>
  <si>
    <t>QTR 3</t>
  </si>
  <si>
    <t>QTR 4</t>
  </si>
  <si>
    <t>Software</t>
  </si>
  <si>
    <t>Training</t>
  </si>
  <si>
    <t>Maintenance</t>
  </si>
  <si>
    <t>Misc.</t>
  </si>
  <si>
    <t>Totals:</t>
  </si>
  <si>
    <t>New Hampshire Division</t>
  </si>
  <si>
    <t>Maine Division</t>
  </si>
  <si>
    <t>Connecticut Division</t>
  </si>
  <si>
    <t>Product Orders</t>
  </si>
  <si>
    <t>Inventory Status Check</t>
  </si>
  <si>
    <t>Enter Product Code:</t>
  </si>
  <si>
    <t>AX10</t>
  </si>
  <si>
    <t>Warehouse 1</t>
  </si>
  <si>
    <t>Warehouse 2</t>
  </si>
  <si>
    <t>Warehouse 3</t>
  </si>
  <si>
    <t>Master Inventory Sheet</t>
  </si>
  <si>
    <t>Product Code:</t>
  </si>
  <si>
    <t>XP100</t>
  </si>
  <si>
    <t>XP200</t>
  </si>
  <si>
    <t>XP300</t>
  </si>
  <si>
    <t>AX25</t>
  </si>
  <si>
    <t>AX50</t>
  </si>
  <si>
    <t>Employee Information - Master List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</si>
  <si>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</si>
  <si>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</si>
  <si>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</si>
  <si>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</si>
  <si>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</si>
  <si>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</si>
  <si>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</si>
  <si>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</si>
  <si>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Pay Rate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</si>
  <si>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</si>
  <si>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</si>
  <si>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</si>
  <si>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</si>
  <si>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</si>
  <si>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</si>
  <si>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</si>
  <si>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</si>
  <si>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Employee Lookup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</si>
  <si>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</si>
  <si>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</si>
  <si>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</si>
  <si>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</si>
  <si>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</si>
  <si>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</si>
  <si>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</si>
  <si>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</si>
  <si>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</si>
  <si>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</si>
  <si>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</si>
  <si>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</si>
  <si>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</si>
  <si>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</si>
  <si>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</si>
  <si>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</si>
  <si>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</si>
  <si>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</si>
  <si>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</si>
  <si>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Building 3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</si>
  <si>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</si>
  <si>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</si>
  <si>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</si>
  <si>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</si>
  <si>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</si>
  <si>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</si>
  <si>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</si>
  <si>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</si>
  <si>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</si>
  <si>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</si>
  <si>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</si>
  <si>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</si>
  <si>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</si>
  <si>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</si>
  <si>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</si>
  <si>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</si>
  <si>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</si>
  <si>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</si>
  <si>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</si>
  <si>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</si>
  <si>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</si>
  <si>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</si>
  <si>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</si>
  <si>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</si>
  <si>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</si>
  <si>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</si>
  <si>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</si>
  <si>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Miller</t>
  </si>
  <si>
    <t>Pam</t>
  </si>
  <si>
    <t>pamk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</si>
  <si>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</si>
  <si>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</si>
  <si>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</si>
  <si>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</si>
  <si>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</si>
  <si>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</si>
  <si>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</si>
  <si>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</si>
  <si>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</si>
  <si>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</si>
  <si>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</si>
  <si>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</si>
  <si>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</si>
  <si>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</si>
  <si>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</si>
  <si>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</si>
  <si>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</si>
  <si>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</si>
  <si>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</si>
  <si>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</si>
  <si>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</si>
  <si>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</si>
  <si>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</si>
  <si>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</si>
  <si>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</si>
  <si>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</si>
  <si>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</si>
  <si>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</si>
  <si>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</si>
  <si>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</si>
  <si>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</si>
  <si>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</si>
  <si>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</si>
  <si>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</si>
  <si>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</si>
  <si>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</si>
  <si>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</si>
  <si>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</si>
  <si>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</si>
  <si>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</si>
  <si>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Larry</t>
  </si>
  <si>
    <t>larryf</t>
  </si>
  <si>
    <t>Judy</t>
  </si>
  <si>
    <t>judyc</t>
  </si>
  <si>
    <t>Chang</t>
  </si>
  <si>
    <t>Jessica</t>
  </si>
  <si>
    <t>jessc</t>
  </si>
  <si>
    <t>Maria</t>
  </si>
  <si>
    <t>mariam</t>
  </si>
  <si>
    <t>Atherly</t>
  </si>
  <si>
    <t>Katherine</t>
  </si>
  <si>
    <t>kathya</t>
  </si>
  <si>
    <t>Product Key</t>
  </si>
  <si>
    <t>Product ID (v2)</t>
  </si>
  <si>
    <t>Product Category</t>
  </si>
  <si>
    <t>Product Size (v1)</t>
  </si>
  <si>
    <t>Product Size (v2)</t>
  </si>
  <si>
    <t>City</t>
  </si>
  <si>
    <t>133462-AA-BOS_SMALL</t>
  </si>
  <si>
    <t>AA</t>
  </si>
  <si>
    <t>SMALL</t>
  </si>
  <si>
    <t>BOS</t>
  </si>
  <si>
    <t>191768-AC-NYC_MEDIUM</t>
  </si>
  <si>
    <t>MEDIUM</t>
  </si>
  <si>
    <t>NYC</t>
  </si>
  <si>
    <t>Proper First Name</t>
  </si>
  <si>
    <t>M.I.</t>
  </si>
  <si>
    <t>Proper Last Name</t>
  </si>
  <si>
    <t>Full Name</t>
  </si>
  <si>
    <t>Gender</t>
  </si>
  <si>
    <t>Proper Gender</t>
  </si>
  <si>
    <t>Street Address</t>
  </si>
  <si>
    <t>State</t>
  </si>
  <si>
    <t>ZipCode</t>
  </si>
  <si>
    <t>Full Address(USE FLASH FILL)</t>
  </si>
  <si>
    <t>Telephone</t>
  </si>
  <si>
    <t>Area Code</t>
  </si>
  <si>
    <t>Prefix</t>
  </si>
  <si>
    <t>Line Number</t>
  </si>
  <si>
    <t>NationalID</t>
  </si>
  <si>
    <t>Short Id</t>
  </si>
  <si>
    <t xml:space="preserve">JENNIFER </t>
  </si>
  <si>
    <t>J</t>
  </si>
  <si>
    <t>MCGRATH</t>
  </si>
  <si>
    <t>female</t>
  </si>
  <si>
    <t>985 Eagle Street</t>
  </si>
  <si>
    <t>Fieldon</t>
  </si>
  <si>
    <t>IL</t>
  </si>
  <si>
    <t>JenniferJMcGrath@gmail.com</t>
  </si>
  <si>
    <t>618-376-3064</t>
  </si>
  <si>
    <t>84-158</t>
  </si>
  <si>
    <t>CHAD</t>
  </si>
  <si>
    <t>S</t>
  </si>
  <si>
    <t xml:space="preserve">LEWIS </t>
  </si>
  <si>
    <t>male</t>
  </si>
  <si>
    <t>267 Francis Mine</t>
  </si>
  <si>
    <t>Downieville</t>
  </si>
  <si>
    <t>CA</t>
  </si>
  <si>
    <t>ChadSLewis@aol.com</t>
  </si>
  <si>
    <t>530-289-3807</t>
  </si>
  <si>
    <t>60-851</t>
  </si>
  <si>
    <t>SUSAN</t>
  </si>
  <si>
    <t>RODRIGUEZ</t>
  </si>
  <si>
    <t>4620 Williams Mine Road</t>
  </si>
  <si>
    <t>Maplewood</t>
  </si>
  <si>
    <t>NJ</t>
  </si>
  <si>
    <t>SusanSRodriguez@hotmail.com</t>
  </si>
  <si>
    <t>908-264-1670</t>
  </si>
  <si>
    <t>44-5370</t>
  </si>
  <si>
    <t xml:space="preserve">WAYNE </t>
  </si>
  <si>
    <t>M</t>
  </si>
  <si>
    <t>NIELSON</t>
  </si>
  <si>
    <t>1829 White Pine Lane</t>
  </si>
  <si>
    <t>Dahlgren</t>
  </si>
  <si>
    <t>VA</t>
  </si>
  <si>
    <t>WayneMNielson@aol.com</t>
  </si>
  <si>
    <t>540-644-7658</t>
  </si>
  <si>
    <t>01-1254</t>
  </si>
  <si>
    <t>JOHN</t>
  </si>
  <si>
    <t>D</t>
  </si>
  <si>
    <t xml:space="preserve">DEPAUL </t>
  </si>
  <si>
    <t>1165 Victoria Street</t>
  </si>
  <si>
    <t>Baton Rouge</t>
  </si>
  <si>
    <t>LA</t>
  </si>
  <si>
    <t>JohnDDepaul@gmail.com</t>
  </si>
  <si>
    <t>225-274-4802</t>
  </si>
  <si>
    <t>03-1343</t>
  </si>
  <si>
    <t>JOSEPH</t>
  </si>
  <si>
    <t>MARTINEZ</t>
  </si>
  <si>
    <t>3866 Mattson Street</t>
  </si>
  <si>
    <t>Portland</t>
  </si>
  <si>
    <t>OR</t>
  </si>
  <si>
    <t>JosephJMartinez@aol.com</t>
  </si>
  <si>
    <t>503-402-2075</t>
  </si>
  <si>
    <t>19-8581</t>
  </si>
  <si>
    <t>DIANE</t>
  </si>
  <si>
    <t>K</t>
  </si>
  <si>
    <t xml:space="preserve">HENRY </t>
  </si>
  <si>
    <t>3902 Valley Lane</t>
  </si>
  <si>
    <t>Austin</t>
  </si>
  <si>
    <t>TX</t>
  </si>
  <si>
    <t>DianeKHenry@gmail.com</t>
  </si>
  <si>
    <t>512-633-7667</t>
  </si>
  <si>
    <t>86-7264</t>
  </si>
  <si>
    <t>VERONICA</t>
  </si>
  <si>
    <t>COMERFORD</t>
  </si>
  <si>
    <t>3932 Franklin Street</t>
  </si>
  <si>
    <t>Tuskegee</t>
  </si>
  <si>
    <t>AL</t>
  </si>
  <si>
    <t>VeronicaMComerford@gmail.com</t>
  </si>
  <si>
    <t>334-725-7343</t>
  </si>
  <si>
    <t>94-9897</t>
  </si>
  <si>
    <t>BEVERLY</t>
  </si>
  <si>
    <t>NIXON</t>
  </si>
  <si>
    <t>3480 Dancing Dove Lane</t>
  </si>
  <si>
    <t>Long Island City</t>
  </si>
  <si>
    <t>NY</t>
  </si>
  <si>
    <t>BeverlyDNixon@aol.com</t>
  </si>
  <si>
    <t>347-626-0700</t>
  </si>
  <si>
    <t>88-7922</t>
  </si>
  <si>
    <t>IVAN</t>
  </si>
  <si>
    <t>LAYTON</t>
  </si>
  <si>
    <t>211 Hardesty Street</t>
  </si>
  <si>
    <t>Albany</t>
  </si>
  <si>
    <t>IvanSLayton@gmail.com</t>
  </si>
  <si>
    <t>518-431-7602</t>
  </si>
  <si>
    <t>09-4367</t>
  </si>
  <si>
    <t>SHANNON</t>
  </si>
  <si>
    <t>H</t>
  </si>
  <si>
    <t>FORD</t>
  </si>
  <si>
    <t>4430 Colonial Drive</t>
  </si>
  <si>
    <t>Bryan</t>
  </si>
  <si>
    <t>ShannonHFord@aol.com</t>
  </si>
  <si>
    <t>979-814-1664</t>
  </si>
  <si>
    <t>03-6340</t>
  </si>
  <si>
    <t>DEBRA</t>
  </si>
  <si>
    <t>F</t>
  </si>
  <si>
    <t>PONCE</t>
  </si>
  <si>
    <t>4418 Sussex Court</t>
  </si>
  <si>
    <t>Dallas</t>
  </si>
  <si>
    <t>DebraFPonce@gmail.com</t>
  </si>
  <si>
    <t>254-488-3212</t>
  </si>
  <si>
    <t>74-7259</t>
  </si>
  <si>
    <t>MARGARET</t>
  </si>
  <si>
    <t>R</t>
  </si>
  <si>
    <t>BRYNER</t>
  </si>
  <si>
    <t>738 Melm Street</t>
  </si>
  <si>
    <t>Providence</t>
  </si>
  <si>
    <t>RI</t>
  </si>
  <si>
    <t>MargaretRBryner@aol.com</t>
  </si>
  <si>
    <t>401-222-2097</t>
  </si>
  <si>
    <t>38-513</t>
  </si>
  <si>
    <t>BARBARA</t>
  </si>
  <si>
    <t>E</t>
  </si>
  <si>
    <t>SMITH</t>
  </si>
  <si>
    <t>352 Lake Road</t>
  </si>
  <si>
    <t>Egg Harbor</t>
  </si>
  <si>
    <t>BarbaraESmith@hotmail.com</t>
  </si>
  <si>
    <t>609-412-4268</t>
  </si>
  <si>
    <t>54-1895</t>
  </si>
  <si>
    <t>SUE</t>
  </si>
  <si>
    <t>P</t>
  </si>
  <si>
    <t>GAY</t>
  </si>
  <si>
    <t>2680 Comfort Court</t>
  </si>
  <si>
    <t>Cataract</t>
  </si>
  <si>
    <t>WI</t>
  </si>
  <si>
    <t>SuePGay@aol.com</t>
  </si>
  <si>
    <t>608-272-8021</t>
  </si>
  <si>
    <t>26-218</t>
  </si>
  <si>
    <t>MARK</t>
  </si>
  <si>
    <t>FLORES</t>
  </si>
  <si>
    <t>42 Mount Street</t>
  </si>
  <si>
    <t>Saginaw</t>
  </si>
  <si>
    <t>MI</t>
  </si>
  <si>
    <t>MarkSFlores@aol.com</t>
  </si>
  <si>
    <t>989-669-4705</t>
  </si>
  <si>
    <t>80-239</t>
  </si>
  <si>
    <t>JULIE</t>
  </si>
  <si>
    <t>B</t>
  </si>
  <si>
    <t>PURINGTON</t>
  </si>
  <si>
    <t>4953 Mahlon Street</t>
  </si>
  <si>
    <t>Piscataway</t>
  </si>
  <si>
    <t>JulieBPurington@hotmail.com</t>
  </si>
  <si>
    <t>732-981-4756</t>
  </si>
  <si>
    <t>10-8909</t>
  </si>
  <si>
    <t>DEBBIE</t>
  </si>
  <si>
    <t>SCHULER</t>
  </si>
  <si>
    <t>673 Mapleview Drive</t>
  </si>
  <si>
    <t>Bolivar</t>
  </si>
  <si>
    <t>TN</t>
  </si>
  <si>
    <t>DebbieJSchuler@hotmail.com</t>
  </si>
  <si>
    <t>731-228-0270</t>
  </si>
  <si>
    <t>82-160</t>
  </si>
  <si>
    <t>GRACE</t>
  </si>
  <si>
    <t>C</t>
  </si>
  <si>
    <t>RENNINGER</t>
  </si>
  <si>
    <t>2363 Oakmound Road</t>
  </si>
  <si>
    <t>Chicago</t>
  </si>
  <si>
    <t>GraceCRenninger@gmail.com</t>
  </si>
  <si>
    <t>773-250-4788</t>
  </si>
  <si>
    <t>50-939</t>
  </si>
  <si>
    <t>JAMES</t>
  </si>
  <si>
    <t>WEISS</t>
  </si>
  <si>
    <t>1278 Cemetery Street</t>
  </si>
  <si>
    <t>Houston</t>
  </si>
  <si>
    <t>JamesCWeiss@aol.com</t>
  </si>
  <si>
    <t>832-232-4190</t>
  </si>
  <si>
    <t>56-0787</t>
  </si>
  <si>
    <t>ADDIE</t>
  </si>
  <si>
    <t>STEVENSON</t>
  </si>
  <si>
    <t>336 Alpha Avenue</t>
  </si>
  <si>
    <t>Jacksonville</t>
  </si>
  <si>
    <t>FL</t>
  </si>
  <si>
    <t>AddieJStevenson@gmail.com</t>
  </si>
  <si>
    <t>904-248-2500</t>
  </si>
  <si>
    <t>29-5854</t>
  </si>
  <si>
    <t>PATRICK</t>
  </si>
  <si>
    <t>MCCURDY</t>
  </si>
  <si>
    <t>2166 North Avenue</t>
  </si>
  <si>
    <t>Kenesaw</t>
  </si>
  <si>
    <t>NE</t>
  </si>
  <si>
    <t>PatrickRMcCurdy@hotmail.com</t>
  </si>
  <si>
    <t>402-752-6280</t>
  </si>
  <si>
    <t>30-9019</t>
  </si>
  <si>
    <t>LAURA</t>
  </si>
  <si>
    <t>A</t>
  </si>
  <si>
    <t>HAILEY</t>
  </si>
  <si>
    <t>3684 North Street</t>
  </si>
  <si>
    <t>Ephraim</t>
  </si>
  <si>
    <t>UT</t>
  </si>
  <si>
    <t>LauraAHailey@aol.com</t>
  </si>
  <si>
    <t>435-283-1109</t>
  </si>
  <si>
    <t>44-701</t>
  </si>
  <si>
    <t>DANIEL</t>
  </si>
  <si>
    <t>GIRARD</t>
  </si>
  <si>
    <t>1678 Kelly Drive</t>
  </si>
  <si>
    <t>Shepherdstown</t>
  </si>
  <si>
    <t>WV</t>
  </si>
  <si>
    <t>DanielMGirard@aol.com</t>
  </si>
  <si>
    <t>304-870-4512</t>
  </si>
  <si>
    <t>27-7333</t>
  </si>
  <si>
    <t>QUEEN</t>
  </si>
  <si>
    <t>WATSON</t>
  </si>
  <si>
    <t>1697 Fincham Road</t>
  </si>
  <si>
    <t>Los Angeles</t>
  </si>
  <si>
    <t>QueenRWatson@gmail.com</t>
  </si>
  <si>
    <t>760-488-9781</t>
  </si>
  <si>
    <t>33-6756</t>
  </si>
  <si>
    <t>LISA</t>
  </si>
  <si>
    <t>TAYLOR</t>
  </si>
  <si>
    <t>3132 Deans Lane</t>
  </si>
  <si>
    <t>White Plains</t>
  </si>
  <si>
    <t>LisaMTaylor@gmail.com</t>
  </si>
  <si>
    <t>914-890-1038</t>
  </si>
  <si>
    <t>76-754</t>
  </si>
  <si>
    <t>EFRAIN</t>
  </si>
  <si>
    <t>BARRICK</t>
  </si>
  <si>
    <t>3277 Elk Creek Road</t>
  </si>
  <si>
    <t>Dunwoody</t>
  </si>
  <si>
    <t>GA</t>
  </si>
  <si>
    <t>EfrainDBarrick@aol.com</t>
  </si>
  <si>
    <t>770-522-8310</t>
  </si>
  <si>
    <t>09-855</t>
  </si>
  <si>
    <t>ROBERT</t>
  </si>
  <si>
    <t>Z</t>
  </si>
  <si>
    <t>SALADIN</t>
  </si>
  <si>
    <t>2840 Yorkshire Circle</t>
  </si>
  <si>
    <t>Wilson</t>
  </si>
  <si>
    <t>NC</t>
  </si>
  <si>
    <t>RobertZSaladin@aol.com</t>
  </si>
  <si>
    <t>252-296-0325</t>
  </si>
  <si>
    <t>95-2433</t>
  </si>
  <si>
    <t>CYNTHIA</t>
  </si>
  <si>
    <t>W</t>
  </si>
  <si>
    <t>REYES</t>
  </si>
  <si>
    <t>4409 Kovar Road</t>
  </si>
  <si>
    <t>Easton</t>
  </si>
  <si>
    <t>MA</t>
  </si>
  <si>
    <t>CynthiaWReyes@hotmail.com</t>
  </si>
  <si>
    <t>508-565-7448</t>
  </si>
  <si>
    <t>10-2471</t>
  </si>
  <si>
    <t>PATRICIA</t>
  </si>
  <si>
    <t>V</t>
  </si>
  <si>
    <t>ALDERETE</t>
  </si>
  <si>
    <t>3503 Hannah Street</t>
  </si>
  <si>
    <t>Charlotte</t>
  </si>
  <si>
    <t>PatriciaVAlderete@gmail.com</t>
  </si>
  <si>
    <t>828-426-4327</t>
  </si>
  <si>
    <t>10-3161</t>
  </si>
  <si>
    <t>CYRSTAL</t>
  </si>
  <si>
    <t>REID</t>
  </si>
  <si>
    <t>205 Red Dog Road</t>
  </si>
  <si>
    <t>CyrstalRReid@aol.com</t>
  </si>
  <si>
    <t>704-330-8800</t>
  </si>
  <si>
    <t>05-835</t>
  </si>
  <si>
    <t>JONATHAN</t>
  </si>
  <si>
    <t>TUBBS</t>
  </si>
  <si>
    <t>4339 Oakridge Lane</t>
  </si>
  <si>
    <t>JonathanCTubbs@gmail.com</t>
  </si>
  <si>
    <t>469-916-2924</t>
  </si>
  <si>
    <t>50-436</t>
  </si>
  <si>
    <t>VONDA</t>
  </si>
  <si>
    <t>ORBISON</t>
  </si>
  <si>
    <t>791 Levy Court</t>
  </si>
  <si>
    <t>Boston</t>
  </si>
  <si>
    <t>VondaCOrbison@hotmail.com</t>
  </si>
  <si>
    <t>978-709-5147</t>
  </si>
  <si>
    <t>78-4788</t>
  </si>
  <si>
    <t>PAULA</t>
  </si>
  <si>
    <t>T</t>
  </si>
  <si>
    <t>OSBORN</t>
  </si>
  <si>
    <t>3544 Old House Drive</t>
  </si>
  <si>
    <t>Columbus</t>
  </si>
  <si>
    <t>OH</t>
  </si>
  <si>
    <t>PaulaTOsborn@hotmail.com</t>
  </si>
  <si>
    <t>740-879-2454</t>
  </si>
  <si>
    <t>36-501</t>
  </si>
  <si>
    <t>LILLIE</t>
  </si>
  <si>
    <t>BOHANON</t>
  </si>
  <si>
    <t>1899 Stonepot Road</t>
  </si>
  <si>
    <t>Newark</t>
  </si>
  <si>
    <t>LillieRBohanon@hotmail.com</t>
  </si>
  <si>
    <t>908-458-6834</t>
  </si>
  <si>
    <t>80-061</t>
  </si>
  <si>
    <t>JANE</t>
  </si>
  <si>
    <t>TAPIA</t>
  </si>
  <si>
    <t>3257 Lunetta Street</t>
  </si>
  <si>
    <t>Fort Myers</t>
  </si>
  <si>
    <t>JaneJTapia@hotmail.com</t>
  </si>
  <si>
    <t>941-326-9242</t>
  </si>
  <si>
    <t>88-559</t>
  </si>
  <si>
    <t>GENE</t>
  </si>
  <si>
    <t>VAUGHN</t>
  </si>
  <si>
    <t>3811 Eagle Lane</t>
  </si>
  <si>
    <t>Virginia</t>
  </si>
  <si>
    <t>MN</t>
  </si>
  <si>
    <t>GeneEVaughn@aol.com</t>
  </si>
  <si>
    <t>218-741-8941</t>
  </si>
  <si>
    <t>68-325</t>
  </si>
  <si>
    <t>MICHELE</t>
  </si>
  <si>
    <t>RICHARD</t>
  </si>
  <si>
    <t>4227 Poplar Chase Lane</t>
  </si>
  <si>
    <t>Spokane</t>
  </si>
  <si>
    <t>ID</t>
  </si>
  <si>
    <t>MicheleARichard@aol.com</t>
  </si>
  <si>
    <t>208-305-3790</t>
  </si>
  <si>
    <t>61-3987</t>
  </si>
  <si>
    <t>ANTHONY</t>
  </si>
  <si>
    <t>RICHMOND</t>
  </si>
  <si>
    <t>4845 Rardin Drive</t>
  </si>
  <si>
    <t>Millbrae</t>
  </si>
  <si>
    <t>AnthonyDRichmond@aol.com</t>
  </si>
  <si>
    <t>650-652-2518</t>
  </si>
  <si>
    <t>64-7814</t>
  </si>
  <si>
    <t>GEORGE</t>
  </si>
  <si>
    <t>L</t>
  </si>
  <si>
    <t>BARNES</t>
  </si>
  <si>
    <t>3428 Irving Place</t>
  </si>
  <si>
    <t>Saint Louis</t>
  </si>
  <si>
    <t>MO</t>
  </si>
  <si>
    <t>GeorgeLBarnes@aol.com</t>
  </si>
  <si>
    <t>636-243-3984</t>
  </si>
  <si>
    <t>04-139</t>
  </si>
  <si>
    <t>CRAIG</t>
  </si>
  <si>
    <t>LOWE</t>
  </si>
  <si>
    <t>726 Fort Street</t>
  </si>
  <si>
    <t>Greenville</t>
  </si>
  <si>
    <t>CraigLLowe@aol.com</t>
  </si>
  <si>
    <t>252-902-3809</t>
  </si>
  <si>
    <t>71-1481</t>
  </si>
  <si>
    <t>JENNIFER</t>
  </si>
  <si>
    <t>NGUYEN</t>
  </si>
  <si>
    <t>4709 Brannon Street</t>
  </si>
  <si>
    <t>JenniferJNguyen@gmail.com</t>
  </si>
  <si>
    <t>213-303-6605</t>
  </si>
  <si>
    <t>97-156</t>
  </si>
  <si>
    <t>KEITH</t>
  </si>
  <si>
    <t>G</t>
  </si>
  <si>
    <t>KIZER</t>
  </si>
  <si>
    <t>977 East Avenue</t>
  </si>
  <si>
    <t>Mesa</t>
  </si>
  <si>
    <t>AZ</t>
  </si>
  <si>
    <t>KeithGKizer@hotmail.com</t>
  </si>
  <si>
    <t>480-325-0082</t>
  </si>
  <si>
    <t>22-356</t>
  </si>
  <si>
    <t>APODACA</t>
  </si>
  <si>
    <t>1792 Queens Lane</t>
  </si>
  <si>
    <t>Palmyra</t>
  </si>
  <si>
    <t>JosephFApodaca@hotmail.com</t>
  </si>
  <si>
    <t>434-591-6520</t>
  </si>
  <si>
    <t>48-1851</t>
  </si>
  <si>
    <t>MELISSA</t>
  </si>
  <si>
    <t>4416 Woodstock Drive</t>
  </si>
  <si>
    <t>MelissaJRodriguez@hotmail.com</t>
  </si>
  <si>
    <t>626-549-9751</t>
  </si>
  <si>
    <t>55-6767</t>
  </si>
  <si>
    <t>DENT</t>
  </si>
  <si>
    <t>3500 Tetrick Road</t>
  </si>
  <si>
    <t>Winter Haven</t>
  </si>
  <si>
    <t>PatriciaCDent@aol.com</t>
  </si>
  <si>
    <t>863-401-8012</t>
  </si>
  <si>
    <t>52-0115</t>
  </si>
  <si>
    <t>GOLDIE</t>
  </si>
  <si>
    <t>CASTANEDA</t>
  </si>
  <si>
    <t>3520 Aviation Way</t>
  </si>
  <si>
    <t>GoldieDCastaneda@gmail.com</t>
  </si>
  <si>
    <t>213-968-0522</t>
  </si>
  <si>
    <t>49-980</t>
  </si>
  <si>
    <t>KERA</t>
  </si>
  <si>
    <t>DAVIDSON</t>
  </si>
  <si>
    <t>4601 Hillcrest Avenue</t>
  </si>
  <si>
    <t>Cambridge</t>
  </si>
  <si>
    <t>KeraMDavidson@hotmail.com</t>
  </si>
  <si>
    <t>781-905-8246</t>
  </si>
  <si>
    <t>24-945</t>
  </si>
  <si>
    <t>DONNA</t>
  </si>
  <si>
    <t>BARNETTE</t>
  </si>
  <si>
    <t>2498 Ersel Street</t>
  </si>
  <si>
    <t>DonnaBBarnette@gmail.com</t>
  </si>
  <si>
    <t>214-336-5063</t>
  </si>
  <si>
    <t>38-496</t>
  </si>
  <si>
    <t>KELLIE</t>
  </si>
  <si>
    <t>BROWN</t>
  </si>
  <si>
    <t>2988 Pine Tree Lane</t>
  </si>
  <si>
    <t>Reston</t>
  </si>
  <si>
    <t>MD</t>
  </si>
  <si>
    <t>KellieABrown@hotmail.com</t>
  </si>
  <si>
    <t>240-363-9620</t>
  </si>
  <si>
    <t>43-606</t>
  </si>
  <si>
    <t>VENA</t>
  </si>
  <si>
    <t>HAMILTON</t>
  </si>
  <si>
    <t>922 Brookview Drive</t>
  </si>
  <si>
    <t>Beaumont</t>
  </si>
  <si>
    <t>VenaJHamilton@hotmail.com</t>
  </si>
  <si>
    <t>409-232-1330</t>
  </si>
  <si>
    <t>05-7652</t>
  </si>
  <si>
    <t>PRALL</t>
  </si>
  <si>
    <t>2147 Lords Way</t>
  </si>
  <si>
    <t>Union City</t>
  </si>
  <si>
    <t>JulieFPrall@aol.com</t>
  </si>
  <si>
    <t>731-884-2771</t>
  </si>
  <si>
    <t>15-9769</t>
  </si>
  <si>
    <t>VICTOR</t>
  </si>
  <si>
    <t>WILLIAMS</t>
  </si>
  <si>
    <t>816 Glory Road</t>
  </si>
  <si>
    <t>Nashville</t>
  </si>
  <si>
    <t>VictorBWilliams@gmail.com</t>
  </si>
  <si>
    <t>931-735-0448</t>
  </si>
  <si>
    <t>01-6978</t>
  </si>
  <si>
    <t>GRACIE</t>
  </si>
  <si>
    <t>GONZALEZ</t>
  </si>
  <si>
    <t>292 Sweetwood Drive</t>
  </si>
  <si>
    <t>Denver</t>
  </si>
  <si>
    <t>CO</t>
  </si>
  <si>
    <t>GracieRGonzalez@aol.com</t>
  </si>
  <si>
    <t>303-376-7959</t>
  </si>
  <si>
    <t>05-7511</t>
  </si>
  <si>
    <t>LEONILA</t>
  </si>
  <si>
    <t>BOMBARD</t>
  </si>
  <si>
    <t>1997 Willis Avenue</t>
  </si>
  <si>
    <t>Port Orange</t>
  </si>
  <si>
    <t>LeonilaSBombard@hotmail.com</t>
  </si>
  <si>
    <t>386-562-8256</t>
  </si>
  <si>
    <t>07-998</t>
  </si>
  <si>
    <t>CHRISTINA</t>
  </si>
  <si>
    <t>RICHTER</t>
  </si>
  <si>
    <t>3169 Wilkinson Court</t>
  </si>
  <si>
    <t>ChristinaMRichter@hotmail.com</t>
  </si>
  <si>
    <t>239-633-4155</t>
  </si>
  <si>
    <t>15-9162</t>
  </si>
  <si>
    <t>BRENDA</t>
  </si>
  <si>
    <t>HODGES</t>
  </si>
  <si>
    <t>1795 Fraggle Drive</t>
  </si>
  <si>
    <t>BrendaKHodges@aol.com</t>
  </si>
  <si>
    <t>630-354-1426</t>
  </si>
  <si>
    <t>54-020</t>
  </si>
  <si>
    <t>CARMELO</t>
  </si>
  <si>
    <t>PREUSS</t>
  </si>
  <si>
    <t>2545 Lang Avenue</t>
  </si>
  <si>
    <t>Ticaboo</t>
  </si>
  <si>
    <t>CarmeloAPreuss@aol.com</t>
  </si>
  <si>
    <t>435-788-1677</t>
  </si>
  <si>
    <t>81-635</t>
  </si>
  <si>
    <t>DAVID</t>
  </si>
  <si>
    <t>SISCO</t>
  </si>
  <si>
    <t>3552 Buckhannan Avenue</t>
  </si>
  <si>
    <t>Syracuse</t>
  </si>
  <si>
    <t>DavidCSisco@gmail.com</t>
  </si>
  <si>
    <t>315-479-9958</t>
  </si>
  <si>
    <t>05-354</t>
  </si>
  <si>
    <t>TERRY</t>
  </si>
  <si>
    <t>GILBERT</t>
  </si>
  <si>
    <t>1787 Hornor Avenue</t>
  </si>
  <si>
    <t>Hallett</t>
  </si>
  <si>
    <t>OK</t>
  </si>
  <si>
    <t>TerryJGilbert@hotmail.com</t>
  </si>
  <si>
    <t>918-356-3119</t>
  </si>
  <si>
    <t>88-962</t>
  </si>
  <si>
    <t>HOMER</t>
  </si>
  <si>
    <t>LATHAM</t>
  </si>
  <si>
    <t>2930 Hartway Street</t>
  </si>
  <si>
    <t>Goodwin</t>
  </si>
  <si>
    <t>SD</t>
  </si>
  <si>
    <t>HomerRLatham@aol.com</t>
  </si>
  <si>
    <t>605-795-1731</t>
  </si>
  <si>
    <t>50-6207</t>
  </si>
  <si>
    <t>ARGENTINA</t>
  </si>
  <si>
    <t>CLARK</t>
  </si>
  <si>
    <t>4249 Orphan Road</t>
  </si>
  <si>
    <t>Cheektowaga</t>
  </si>
  <si>
    <t>ArgentinaLClark@hotmail.com</t>
  </si>
  <si>
    <t>716-228-4814</t>
  </si>
  <si>
    <t>36-6051</t>
  </si>
  <si>
    <t>RAYMOND</t>
  </si>
  <si>
    <t>377 Warner Street</t>
  </si>
  <si>
    <t>Ft Lauderdale</t>
  </si>
  <si>
    <t>RaymondMTaylor@gmail.com</t>
  </si>
  <si>
    <t>305-965-4543</t>
  </si>
  <si>
    <t>70-6996</t>
  </si>
  <si>
    <t>HARRISON</t>
  </si>
  <si>
    <t>4023 Smithfield Avenue</t>
  </si>
  <si>
    <t>Amarillo</t>
  </si>
  <si>
    <t>PatriciaCHarrison@hotmail.com</t>
  </si>
  <si>
    <t>806-664-5258</t>
  </si>
  <si>
    <t>58-6390</t>
  </si>
  <si>
    <t>KING</t>
  </si>
  <si>
    <t>3737 Stratford Park</t>
  </si>
  <si>
    <t>Vincennes</t>
  </si>
  <si>
    <t>IN</t>
  </si>
  <si>
    <t>RobertKKing@hotmail.com</t>
  </si>
  <si>
    <t>812-881-5928</t>
  </si>
  <si>
    <t>15-222</t>
  </si>
  <si>
    <t>PEDRO</t>
  </si>
  <si>
    <t>PADGETT</t>
  </si>
  <si>
    <t>1636 Lake Road</t>
  </si>
  <si>
    <t>Camden</t>
  </si>
  <si>
    <t>PedroMPadgett@hotmail.com</t>
  </si>
  <si>
    <t>609-326-3881</t>
  </si>
  <si>
    <t>08-475</t>
  </si>
  <si>
    <t>MCLAUGHLIN</t>
  </si>
  <si>
    <t>2751 Walnut Street</t>
  </si>
  <si>
    <t>Buckatunna</t>
  </si>
  <si>
    <t>MS</t>
  </si>
  <si>
    <t>JohnRMcLaughlin@hotmail.com</t>
  </si>
  <si>
    <t>601-648-9349</t>
  </si>
  <si>
    <t>92-709</t>
  </si>
  <si>
    <t>LAKESHA</t>
  </si>
  <si>
    <t>JOHNSON</t>
  </si>
  <si>
    <t>4832 Harley Brook Lane</t>
  </si>
  <si>
    <t>Patton</t>
  </si>
  <si>
    <t>PA</t>
  </si>
  <si>
    <t>LakeshaTJohnson@hotmail.com</t>
  </si>
  <si>
    <t>814-674-1968</t>
  </si>
  <si>
    <t>58-7331</t>
  </si>
  <si>
    <t>LUCINDA</t>
  </si>
  <si>
    <t>GRIBBLE</t>
  </si>
  <si>
    <t>2075 Gore Street</t>
  </si>
  <si>
    <t>LucindaRGribble@aol.com</t>
  </si>
  <si>
    <t>713-609-8148</t>
  </si>
  <si>
    <t>39-976</t>
  </si>
  <si>
    <t>MILDRED</t>
  </si>
  <si>
    <t>GREENE</t>
  </si>
  <si>
    <t>2538 Laurel Lane</t>
  </si>
  <si>
    <t>Terminal</t>
  </si>
  <si>
    <t>MildredDGreene@aol.com</t>
  </si>
  <si>
    <t>432-495-7060</t>
  </si>
  <si>
    <t>87-596</t>
  </si>
  <si>
    <t>SALLY</t>
  </si>
  <si>
    <t>HAYES</t>
  </si>
  <si>
    <t>3782 Southern Avenue</t>
  </si>
  <si>
    <t>Mason City</t>
  </si>
  <si>
    <t>IA</t>
  </si>
  <si>
    <t>SallyDHayes@hotmail.com</t>
  </si>
  <si>
    <t>641-422-1921</t>
  </si>
  <si>
    <t>88-0077</t>
  </si>
  <si>
    <t>AUGUSTINE</t>
  </si>
  <si>
    <t>1956 Thunder Road</t>
  </si>
  <si>
    <t>Burlingame</t>
  </si>
  <si>
    <t>AugustineKTaylor@aol.com</t>
  </si>
  <si>
    <t>650-548-4339</t>
  </si>
  <si>
    <t>06-981</t>
  </si>
  <si>
    <t>EDWARD</t>
  </si>
  <si>
    <t>KELLEY</t>
  </si>
  <si>
    <t>4711 Wiseman Street</t>
  </si>
  <si>
    <t>Knoxville</t>
  </si>
  <si>
    <t>EdwardJKelley@aol.com</t>
  </si>
  <si>
    <t>865-377-0614</t>
  </si>
  <si>
    <t>80-865</t>
  </si>
  <si>
    <t>MEI</t>
  </si>
  <si>
    <t>LOPEZ</t>
  </si>
  <si>
    <t>2992 Frank Avenue</t>
  </si>
  <si>
    <t>Pittsburgh</t>
  </si>
  <si>
    <t>MeiRLopez@hotmail.com</t>
  </si>
  <si>
    <t>412-978-6619</t>
  </si>
  <si>
    <t>22-120</t>
  </si>
  <si>
    <t>KATHERINE</t>
  </si>
  <si>
    <t>KENNEDY</t>
  </si>
  <si>
    <t>89 Bates Brothers Road</t>
  </si>
  <si>
    <t>KatherineCKennedy@hotmail.com</t>
  </si>
  <si>
    <t>614-245-0377</t>
  </si>
  <si>
    <t>02-367</t>
  </si>
  <si>
    <t>TREVINO</t>
  </si>
  <si>
    <t>1950 Eagles Nest Drive</t>
  </si>
  <si>
    <t>Placerville</t>
  </si>
  <si>
    <t>JenniferLTrevino@aol.com</t>
  </si>
  <si>
    <t>530-621-7352</t>
  </si>
  <si>
    <t>65-7087</t>
  </si>
  <si>
    <t>MOORE</t>
  </si>
  <si>
    <t>3751 Webster Street</t>
  </si>
  <si>
    <t>New Brunswick</t>
  </si>
  <si>
    <t>JamesMMoore@aol.com</t>
  </si>
  <si>
    <t>732-628-4048</t>
  </si>
  <si>
    <t>70-8126</t>
  </si>
  <si>
    <t>WEATHERLY</t>
  </si>
  <si>
    <t>4034 May Street</t>
  </si>
  <si>
    <t>Ewing</t>
  </si>
  <si>
    <t>KY</t>
  </si>
  <si>
    <t>DanielMWeatherly@hotmail.com</t>
  </si>
  <si>
    <t>606-267-0391</t>
  </si>
  <si>
    <t>55-591</t>
  </si>
  <si>
    <t>CHRISTINE</t>
  </si>
  <si>
    <t>STAFF</t>
  </si>
  <si>
    <t>2560 Happy Hollow Road</t>
  </si>
  <si>
    <t>Wilmington</t>
  </si>
  <si>
    <t>ChristineWStaff@gmail.com</t>
  </si>
  <si>
    <t>910-617-0285</t>
  </si>
  <si>
    <t>66-5678</t>
  </si>
  <si>
    <t>MARY</t>
  </si>
  <si>
    <t>CASTLE</t>
  </si>
  <si>
    <t>4337 Arbutus Drive</t>
  </si>
  <si>
    <t>Miami Springs</t>
  </si>
  <si>
    <t>MarySCastle@aol.com</t>
  </si>
  <si>
    <t>305-886-6290</t>
  </si>
  <si>
    <t>16-6026</t>
  </si>
  <si>
    <t>ANTONIO</t>
  </si>
  <si>
    <t>EDER</t>
  </si>
  <si>
    <t>4113 University Hill Road</t>
  </si>
  <si>
    <t>Witt</t>
  </si>
  <si>
    <t>AntonioKEder@gmail.com</t>
  </si>
  <si>
    <t>217-594-5606</t>
  </si>
  <si>
    <t>98-9044</t>
  </si>
  <si>
    <t>ELDREDGE</t>
  </si>
  <si>
    <t>2384 Penn Street</t>
  </si>
  <si>
    <t>Columbia</t>
  </si>
  <si>
    <t>RobertCEldredge@hotmail.com</t>
  </si>
  <si>
    <t>573-304-9439</t>
  </si>
  <si>
    <t>10-0649</t>
  </si>
  <si>
    <t>ABERNATHY</t>
  </si>
  <si>
    <t>2731 Mount Street</t>
  </si>
  <si>
    <t>Merrill</t>
  </si>
  <si>
    <t>TerryAAbernathy@aol.com</t>
  </si>
  <si>
    <t>989-643-6862</t>
  </si>
  <si>
    <t>26-6263</t>
  </si>
  <si>
    <t>OLIVER</t>
  </si>
  <si>
    <t>345 Turnpike Drive</t>
  </si>
  <si>
    <t>Birmingham</t>
  </si>
  <si>
    <t>MaryLOliver@gmail.com</t>
  </si>
  <si>
    <t>256-375-9210</t>
  </si>
  <si>
    <t>01-3721</t>
  </si>
  <si>
    <t>SYLVIA</t>
  </si>
  <si>
    <t>PROVENCHER</t>
  </si>
  <si>
    <t>2563 Oak Drive</t>
  </si>
  <si>
    <t>Indian Lake</t>
  </si>
  <si>
    <t>SylviaPProvencher@hotmail.com</t>
  </si>
  <si>
    <t>518-648-2133</t>
  </si>
  <si>
    <t>64-743</t>
  </si>
  <si>
    <t>MICHAEL</t>
  </si>
  <si>
    <t>BUTTERS</t>
  </si>
  <si>
    <t>1700 Glenwood Avenue</t>
  </si>
  <si>
    <t>Cleveland</t>
  </si>
  <si>
    <t>MichaelJButters@aol.com</t>
  </si>
  <si>
    <t>216-357-0590</t>
  </si>
  <si>
    <t>88-6212</t>
  </si>
  <si>
    <t>EDUARDO</t>
  </si>
  <si>
    <t>HARRIS</t>
  </si>
  <si>
    <t>880 Columbia Boulevard</t>
  </si>
  <si>
    <t>Baltimore</t>
  </si>
  <si>
    <t>EduardoMHarris@gmail.com</t>
  </si>
  <si>
    <t>410-403-8606</t>
  </si>
  <si>
    <t>01-9829</t>
  </si>
  <si>
    <t>JANET</t>
  </si>
  <si>
    <t>GODFREY</t>
  </si>
  <si>
    <t>4249 Johnson Street</t>
  </si>
  <si>
    <t>Raleigh</t>
  </si>
  <si>
    <t>JanetBGodfrey@hotmail.com</t>
  </si>
  <si>
    <t>919-860-7881</t>
  </si>
  <si>
    <t>93-9086</t>
  </si>
  <si>
    <t>THELMA</t>
  </si>
  <si>
    <t>MCCARTHY</t>
  </si>
  <si>
    <t>1722 Romano Street</t>
  </si>
  <si>
    <t>Woburn</t>
  </si>
  <si>
    <t>ThelmaRMcCarthy@hotmail.com</t>
  </si>
  <si>
    <t>781-405-0924</t>
  </si>
  <si>
    <t>26-414</t>
  </si>
  <si>
    <t>FRAN</t>
  </si>
  <si>
    <t>RITCHIE</t>
  </si>
  <si>
    <t>4518 Old Dear Lane</t>
  </si>
  <si>
    <t>Milton</t>
  </si>
  <si>
    <t>FranMRitchie@hotmail.com</t>
  </si>
  <si>
    <t>845-795-1923</t>
  </si>
  <si>
    <t>54-094</t>
  </si>
  <si>
    <t>THOMPSON</t>
  </si>
  <si>
    <t>210 Heather Sees Way</t>
  </si>
  <si>
    <t>Muskogee</t>
  </si>
  <si>
    <t>LisaDThompson@hotmail.com</t>
  </si>
  <si>
    <t>918-684-5481</t>
  </si>
  <si>
    <t>09-289</t>
  </si>
  <si>
    <t>GREGGS</t>
  </si>
  <si>
    <t>2906 Cost Avenue</t>
  </si>
  <si>
    <t>Hyattsville</t>
  </si>
  <si>
    <t>GeorgeLGreggs@aol.com</t>
  </si>
  <si>
    <t>301-403-7868</t>
  </si>
  <si>
    <t>52-3869</t>
  </si>
  <si>
    <t>DORA</t>
  </si>
  <si>
    <t>BURRIS</t>
  </si>
  <si>
    <t>4692 Clarence Court</t>
  </si>
  <si>
    <t>DoraSBurris@gmail.com</t>
  </si>
  <si>
    <t>909-960-4178</t>
  </si>
  <si>
    <t>36-9420</t>
  </si>
  <si>
    <t>WANDA</t>
  </si>
  <si>
    <t>SCHULTZ</t>
  </si>
  <si>
    <t>2161 Delaware Avenue</t>
  </si>
  <si>
    <t>San Francisco</t>
  </si>
  <si>
    <t>WandaDSchultz@hotmail.com</t>
  </si>
  <si>
    <t>415-239-2560</t>
  </si>
  <si>
    <t>62-281</t>
  </si>
  <si>
    <t>JASON</t>
  </si>
  <si>
    <t>PAVON</t>
  </si>
  <si>
    <t>4012 Zappia Drive</t>
  </si>
  <si>
    <t>Winchester</t>
  </si>
  <si>
    <t>JasonLPavon@hotmail.com</t>
  </si>
  <si>
    <t>859-319-0659</t>
  </si>
  <si>
    <t>84-060</t>
  </si>
  <si>
    <t>JANNETTE</t>
  </si>
  <si>
    <t>900 Green Avenue</t>
  </si>
  <si>
    <t>Berkeley</t>
  </si>
  <si>
    <t>JannetteJAnthony@gmail.com</t>
  </si>
  <si>
    <t>510-849-5795</t>
  </si>
  <si>
    <t>30-8295</t>
  </si>
  <si>
    <t>KATRINA</t>
  </si>
  <si>
    <t>STULL</t>
  </si>
  <si>
    <t>4489 Isaacs Creek Road</t>
  </si>
  <si>
    <t>Springfield</t>
  </si>
  <si>
    <t>KatrinaRStull@hotmail.com</t>
  </si>
  <si>
    <t>217-470-3255</t>
  </si>
  <si>
    <t>52-269</t>
  </si>
  <si>
    <t>RUSSELL</t>
  </si>
  <si>
    <t>LOFTON</t>
  </si>
  <si>
    <t>321 Wines Lane</t>
  </si>
  <si>
    <t>RussellJLofton@aol.com</t>
  </si>
  <si>
    <t>832-265-2122</t>
  </si>
  <si>
    <t>34-7539</t>
  </si>
  <si>
    <t>MAY</t>
  </si>
  <si>
    <t>361 Tator Patch Road</t>
  </si>
  <si>
    <t>JohnBMay@hotmail.com</t>
  </si>
  <si>
    <t>312-826-8635</t>
  </si>
  <si>
    <t>70-6483</t>
  </si>
  <si>
    <t>ANN</t>
  </si>
  <si>
    <t>TILTON</t>
  </si>
  <si>
    <t>2721 Peck Street</t>
  </si>
  <si>
    <t>Marlboro</t>
  </si>
  <si>
    <t>NH</t>
  </si>
  <si>
    <t>AnnCTilton@hotmail.com</t>
  </si>
  <si>
    <t>603-876-8330</t>
  </si>
  <si>
    <t>09-1094</t>
  </si>
  <si>
    <t>ERIC</t>
  </si>
  <si>
    <t>YOUNG</t>
  </si>
  <si>
    <t>4267 Duck Creek Road</t>
  </si>
  <si>
    <t>Brisbane</t>
  </si>
  <si>
    <t>EricTYoung@hotmail.com</t>
  </si>
  <si>
    <t>650-776-7291</t>
  </si>
  <si>
    <t>56-681</t>
  </si>
  <si>
    <t>FRIAR</t>
  </si>
  <si>
    <t>4778 Hannah Street</t>
  </si>
  <si>
    <t>Asheville</t>
  </si>
  <si>
    <t>JamesFFriar@aol.com</t>
  </si>
  <si>
    <t>828-377-2478</t>
  </si>
  <si>
    <t>03-368</t>
  </si>
  <si>
    <t>CRUM</t>
  </si>
  <si>
    <t>1604 Woodbridge Lane</t>
  </si>
  <si>
    <t>Detroit</t>
  </si>
  <si>
    <t>DavidDCrum@gmail.com</t>
  </si>
  <si>
    <t>313-577-3173</t>
  </si>
  <si>
    <t>68-5201</t>
  </si>
  <si>
    <t>GLORIA</t>
  </si>
  <si>
    <t>TORRES</t>
  </si>
  <si>
    <t>1576 Jerry Toth Drive</t>
  </si>
  <si>
    <t>Anchorage</t>
  </si>
  <si>
    <t>AK</t>
  </si>
  <si>
    <t>GloriaSTorres@gmail.com</t>
  </si>
  <si>
    <t>907-563-9002</t>
  </si>
  <si>
    <t>24-490</t>
  </si>
  <si>
    <t>DERRICK</t>
  </si>
  <si>
    <t>N</t>
  </si>
  <si>
    <t>2359 Turkey Pen Lane</t>
  </si>
  <si>
    <t>Holtville</t>
  </si>
  <si>
    <t>DerrickNBrown@gmail.com</t>
  </si>
  <si>
    <t>334-569-9587</t>
  </si>
  <si>
    <t>25-747</t>
  </si>
  <si>
    <t>ALLEN</t>
  </si>
  <si>
    <t>3143 Hardman Road</t>
  </si>
  <si>
    <t>Brattleboro</t>
  </si>
  <si>
    <t>VT</t>
  </si>
  <si>
    <t>DavidCAllen@hotmail.com</t>
  </si>
  <si>
    <t>802-817-4962</t>
  </si>
  <si>
    <t>12-9079</t>
  </si>
  <si>
    <t>TRACIE</t>
  </si>
  <si>
    <t>SELLERS</t>
  </si>
  <si>
    <t>472 Fort Street</t>
  </si>
  <si>
    <t>Kinston</t>
  </si>
  <si>
    <t>TracieBSellers@hotmail.com</t>
  </si>
  <si>
    <t>252-939-9519</t>
  </si>
  <si>
    <t>50-977</t>
  </si>
  <si>
    <t>ROCKY</t>
  </si>
  <si>
    <t>WEATHERSPOON</t>
  </si>
  <si>
    <t>850 Stanley Avenue</t>
  </si>
  <si>
    <t>Hicksville</t>
  </si>
  <si>
    <t>RockyCWeatherspoon@hotmail.com</t>
  </si>
  <si>
    <t>516-545-5590</t>
  </si>
  <si>
    <t>09-3513</t>
  </si>
  <si>
    <t>KEVIN</t>
  </si>
  <si>
    <t>GIBSON</t>
  </si>
  <si>
    <t>4577 Zimmerman Lane</t>
  </si>
  <si>
    <t>KevinMGibson@hotmail.com</t>
  </si>
  <si>
    <t>213-517-4820</t>
  </si>
  <si>
    <t>86-868</t>
  </si>
  <si>
    <t>ELAINE</t>
  </si>
  <si>
    <t>CUNNINGHAM</t>
  </si>
  <si>
    <t>4941 Viking Drive</t>
  </si>
  <si>
    <t>Worthington</t>
  </si>
  <si>
    <t>ElaineBCunningham@gmail.com</t>
  </si>
  <si>
    <t>740-721-7555</t>
  </si>
  <si>
    <t>20-618</t>
  </si>
  <si>
    <t>CHARLES</t>
  </si>
  <si>
    <t>CASTRO</t>
  </si>
  <si>
    <t>2165 Michigan Avenue</t>
  </si>
  <si>
    <t>New Stanton</t>
  </si>
  <si>
    <t>CharlesSCastro@gmail.com</t>
  </si>
  <si>
    <t>724-696-9820</t>
  </si>
  <si>
    <t>30-532</t>
  </si>
  <si>
    <t>LES</t>
  </si>
  <si>
    <t>LAWHON</t>
  </si>
  <si>
    <t>3075 Westwood Avenue</t>
  </si>
  <si>
    <t>LesNLawhon@hotmail.com</t>
  </si>
  <si>
    <t>516-802-1216</t>
  </si>
  <si>
    <t>28-827</t>
  </si>
  <si>
    <t>RONALD</t>
  </si>
  <si>
    <t>GORDON</t>
  </si>
  <si>
    <t>4048 Courtright Street</t>
  </si>
  <si>
    <t>Minneapolis</t>
  </si>
  <si>
    <t>ND</t>
  </si>
  <si>
    <t>RonaldEGordon@gmail.com</t>
  </si>
  <si>
    <t>701-555-3444</t>
  </si>
  <si>
    <t>26-2475</t>
  </si>
  <si>
    <t>KENNETH</t>
  </si>
  <si>
    <t>I</t>
  </si>
  <si>
    <t>1634 Patterson Fork Road</t>
  </si>
  <si>
    <t>KennethIHarris@hotmail.com</t>
  </si>
  <si>
    <t>312-675-4767</t>
  </si>
  <si>
    <t>66-905</t>
  </si>
  <si>
    <t>NICOLE</t>
  </si>
  <si>
    <t>PEREZ</t>
  </si>
  <si>
    <t>3673 Weekley Street</t>
  </si>
  <si>
    <t>San Antonio</t>
  </si>
  <si>
    <t>NicoleBPerez@aol.com</t>
  </si>
  <si>
    <t>210-332-7713</t>
  </si>
  <si>
    <t>58-2864</t>
  </si>
  <si>
    <t>MICHELLE</t>
  </si>
  <si>
    <t>KEOWN</t>
  </si>
  <si>
    <t>1993 Tipple Road</t>
  </si>
  <si>
    <t>Philadelphia</t>
  </si>
  <si>
    <t>MichelleCKeown@gmail.com</t>
  </si>
  <si>
    <t>215-790-4399</t>
  </si>
  <si>
    <t>14-5193</t>
  </si>
  <si>
    <t>DOUCETTE</t>
  </si>
  <si>
    <t>3416 Tyler Avenue</t>
  </si>
  <si>
    <t>SueJDoucette@hotmail.com</t>
  </si>
  <si>
    <t>305-308-0272</t>
  </si>
  <si>
    <t>02-925</t>
  </si>
  <si>
    <t>LILLIAN</t>
  </si>
  <si>
    <t>KLINE</t>
  </si>
  <si>
    <t>4188 Sun Valley Road</t>
  </si>
  <si>
    <t>Yakima</t>
  </si>
  <si>
    <t>WA</t>
  </si>
  <si>
    <t>LillianJKline@hotmail.com</t>
  </si>
  <si>
    <t>509-790-0804</t>
  </si>
  <si>
    <t>94-431</t>
  </si>
  <si>
    <t>LINDA</t>
  </si>
  <si>
    <t>CHASSE</t>
  </si>
  <si>
    <t>4155 Kembery Drive</t>
  </si>
  <si>
    <t>Schaumburg</t>
  </si>
  <si>
    <t>LindaHChasse@aol.com</t>
  </si>
  <si>
    <t>630-602-5913</t>
  </si>
  <si>
    <t>24-3647</t>
  </si>
  <si>
    <t>JEAN</t>
  </si>
  <si>
    <t>GARCIA</t>
  </si>
  <si>
    <t>4646 Lynn Street</t>
  </si>
  <si>
    <t>JeanRGarcia@hotmail.com</t>
  </si>
  <si>
    <t>617-226-8333</t>
  </si>
  <si>
    <t>88-8139</t>
  </si>
  <si>
    <t>SEAN</t>
  </si>
  <si>
    <t>BALTES</t>
  </si>
  <si>
    <t>2545 Calvin Street</t>
  </si>
  <si>
    <t>SeanCBaltes@aol.com</t>
  </si>
  <si>
    <t>443-425-0071</t>
  </si>
  <si>
    <t>22-4734</t>
  </si>
  <si>
    <t>BENJAMIN</t>
  </si>
  <si>
    <t>725 Poe Lane</t>
  </si>
  <si>
    <t>Mission</t>
  </si>
  <si>
    <t>KS</t>
  </si>
  <si>
    <t>BenjaminRCastaneda@aol.com</t>
  </si>
  <si>
    <t>913-424-4228</t>
  </si>
  <si>
    <t>20-9381</t>
  </si>
  <si>
    <t>JERRY</t>
  </si>
  <si>
    <t>MILLS</t>
  </si>
  <si>
    <t>1083 Grove Avenue</t>
  </si>
  <si>
    <t>Bessie</t>
  </si>
  <si>
    <t>JerryMMills@gmail.com</t>
  </si>
  <si>
    <t>580-373-5226</t>
  </si>
  <si>
    <t>26-523</t>
  </si>
  <si>
    <t>DOUGLAS</t>
  </si>
  <si>
    <t>WRIGHT</t>
  </si>
  <si>
    <t>210 Adams Avenue</t>
  </si>
  <si>
    <t>Upper Marlboro</t>
  </si>
  <si>
    <t>DouglasMWright@hotmail.com</t>
  </si>
  <si>
    <t>301-627-9555</t>
  </si>
  <si>
    <t>64-6416</t>
  </si>
  <si>
    <t>CHRISTOPHER</t>
  </si>
  <si>
    <t>LANE</t>
  </si>
  <si>
    <t>2191 Bloomfield Way</t>
  </si>
  <si>
    <t>Embden Lake</t>
  </si>
  <si>
    <t>ME</t>
  </si>
  <si>
    <t>ChristopherBLane@aol.com</t>
  </si>
  <si>
    <t>207-566-8114</t>
  </si>
  <si>
    <t>54-132</t>
  </si>
  <si>
    <t>MONTE</t>
  </si>
  <si>
    <t>MELLOTT</t>
  </si>
  <si>
    <t>1756 Seth Street</t>
  </si>
  <si>
    <t>London</t>
  </si>
  <si>
    <t>MonteKMellott@aol.com</t>
  </si>
  <si>
    <t>325-475-8182</t>
  </si>
  <si>
    <t>40-5240</t>
  </si>
  <si>
    <t>LEIGHANN</t>
  </si>
  <si>
    <t>MCCORKLE</t>
  </si>
  <si>
    <t>3840 Zimmerman Lane</t>
  </si>
  <si>
    <t>Santa Ana</t>
  </si>
  <si>
    <t>LeighannJMcCorkle@hotmail.com</t>
  </si>
  <si>
    <t>213-471-6747</t>
  </si>
  <si>
    <t>93-254</t>
  </si>
  <si>
    <t>LESTER</t>
  </si>
  <si>
    <t>BAER</t>
  </si>
  <si>
    <t>1239 Lang Avenue</t>
  </si>
  <si>
    <t>Logan</t>
  </si>
  <si>
    <t>LesterJBaer@aol.com</t>
  </si>
  <si>
    <t>435-757-3720</t>
  </si>
  <si>
    <t>05-9569</t>
  </si>
  <si>
    <t>SHANI</t>
  </si>
  <si>
    <t>4856 Pinnickinick Street</t>
  </si>
  <si>
    <t>Kelso</t>
  </si>
  <si>
    <t>ShaniMHamilton@hotmail.com</t>
  </si>
  <si>
    <t>360-749-8772</t>
  </si>
  <si>
    <t>60-3666</t>
  </si>
  <si>
    <t>LEROY</t>
  </si>
  <si>
    <t>CARROLL</t>
  </si>
  <si>
    <t>269 Rogers Street</t>
  </si>
  <si>
    <t>Cincinnati</t>
  </si>
  <si>
    <t>LeroyRCarroll@aol.com</t>
  </si>
  <si>
    <t>513-579-4638</t>
  </si>
  <si>
    <t>04-165</t>
  </si>
  <si>
    <t>TERESA</t>
  </si>
  <si>
    <t>BATTIN</t>
  </si>
  <si>
    <t>702 Woodhill Avenue</t>
  </si>
  <si>
    <t>TeresaABattin@aol.com</t>
  </si>
  <si>
    <t>410-820-1785</t>
  </si>
  <si>
    <t>56-541</t>
  </si>
  <si>
    <t>GREGORY</t>
  </si>
  <si>
    <t>856 Everette Alley</t>
  </si>
  <si>
    <t>Fort Lauderdale</t>
  </si>
  <si>
    <t>GregoryVMoore@gmail.com</t>
  </si>
  <si>
    <t>954-762-9105</t>
  </si>
  <si>
    <t>38-036</t>
  </si>
  <si>
    <t>FAITH</t>
  </si>
  <si>
    <t>HAGANS</t>
  </si>
  <si>
    <t>1491 Tecumsah Lane</t>
  </si>
  <si>
    <t>Waterloo</t>
  </si>
  <si>
    <t>FaithJHagans@hotmail.com</t>
  </si>
  <si>
    <t>319-236-0382</t>
  </si>
  <si>
    <t>13-511</t>
  </si>
  <si>
    <t>LOGSDON</t>
  </si>
  <si>
    <t>3225 Libby Street</t>
  </si>
  <si>
    <t>MichaelALogsdon@aol.com</t>
  </si>
  <si>
    <t>310-313-9536</t>
  </si>
  <si>
    <t>60-549</t>
  </si>
  <si>
    <t>CHAVEZ</t>
  </si>
  <si>
    <t>4494 Flinderation Road</t>
  </si>
  <si>
    <t>Arlington Heights</t>
  </si>
  <si>
    <t>AnthonyDChavez@aol.com</t>
  </si>
  <si>
    <t>708-398-9663</t>
  </si>
  <si>
    <t>09-165</t>
  </si>
  <si>
    <t>AMANDA</t>
  </si>
  <si>
    <t>MILANO</t>
  </si>
  <si>
    <t>3070 Bubby Drive</t>
  </si>
  <si>
    <t>AmandaCMilano@aol.com</t>
  </si>
  <si>
    <t>512-439-0332</t>
  </si>
  <si>
    <t>61-0157</t>
  </si>
  <si>
    <t>SHAYNA</t>
  </si>
  <si>
    <t>GERMAN</t>
  </si>
  <si>
    <t>854 Primrose Lane</t>
  </si>
  <si>
    <t>Madison</t>
  </si>
  <si>
    <t>ShaynaBGerman@aol.com</t>
  </si>
  <si>
    <t>608-646-8991</t>
  </si>
  <si>
    <t>12-993</t>
  </si>
  <si>
    <t>HANSEN</t>
  </si>
  <si>
    <t>3561 Sunburst Drive</t>
  </si>
  <si>
    <t>BarbaraRHansen@aol.com</t>
  </si>
  <si>
    <t>239-331-9668</t>
  </si>
  <si>
    <t>18-4117</t>
  </si>
  <si>
    <t>KIRBY</t>
  </si>
  <si>
    <t>4459 B Street</t>
  </si>
  <si>
    <t>KennethVKirby@hotmail.com</t>
  </si>
  <si>
    <t>651-691-3565</t>
  </si>
  <si>
    <t>62-778</t>
  </si>
  <si>
    <t>PETTIGREW</t>
  </si>
  <si>
    <t>2694 Owagner Lane</t>
  </si>
  <si>
    <t>Burien</t>
  </si>
  <si>
    <t>JamesLPettigrew@gmail.com</t>
  </si>
  <si>
    <t>206-244-9336</t>
  </si>
  <si>
    <t>39-718</t>
  </si>
  <si>
    <t>ROGER</t>
  </si>
  <si>
    <t>GREEN</t>
  </si>
  <si>
    <t>3689 Still Pastures Drive</t>
  </si>
  <si>
    <t>Holly Hill</t>
  </si>
  <si>
    <t>SC</t>
  </si>
  <si>
    <t>RogerMGreen@hotmail.com</t>
  </si>
  <si>
    <t>803-496-2792</t>
  </si>
  <si>
    <t>14-875</t>
  </si>
  <si>
    <t>ROBERTS</t>
  </si>
  <si>
    <t>87 Nuzum Court</t>
  </si>
  <si>
    <t>Angola</t>
  </si>
  <si>
    <t>JosephCRoberts@aol.com</t>
  </si>
  <si>
    <t>716-549-1195</t>
  </si>
  <si>
    <t>60-9995</t>
  </si>
  <si>
    <t>HEIDI</t>
  </si>
  <si>
    <t>SINQUEFIELD</t>
  </si>
  <si>
    <t>4929 Elk Rd Little</t>
  </si>
  <si>
    <t>Tucson</t>
  </si>
  <si>
    <t>HeidiGSinquefield@gmail.com</t>
  </si>
  <si>
    <t>520-226-6462</t>
  </si>
  <si>
    <t>03-1580</t>
  </si>
  <si>
    <t>SAM</t>
  </si>
  <si>
    <t>HUGHES</t>
  </si>
  <si>
    <t>1097 Still Pastures Drive</t>
  </si>
  <si>
    <t>Chester</t>
  </si>
  <si>
    <t>SamKHughes@gmail.com</t>
  </si>
  <si>
    <t>803-377-7264</t>
  </si>
  <si>
    <t>16-1384</t>
  </si>
  <si>
    <t>MILTON</t>
  </si>
  <si>
    <t>4245 Irving Place</t>
  </si>
  <si>
    <t>Belleville</t>
  </si>
  <si>
    <t>MiltonTBrown@aol.com</t>
  </si>
  <si>
    <t>636-323-3267</t>
  </si>
  <si>
    <t>96-502</t>
  </si>
  <si>
    <t>AUDREY</t>
  </si>
  <si>
    <t>3779 Dale Avenue</t>
  </si>
  <si>
    <t>Tacoma</t>
  </si>
  <si>
    <t>AudreyMMilton@gmail.com</t>
  </si>
  <si>
    <t>253-732-8965</t>
  </si>
  <si>
    <t>06-441</t>
  </si>
  <si>
    <t>DIANA</t>
  </si>
  <si>
    <t>HANCOCK</t>
  </si>
  <si>
    <t>1173 Mapleview Drive</t>
  </si>
  <si>
    <t>Trimble</t>
  </si>
  <si>
    <t>DianaJHancock@hotmail.com</t>
  </si>
  <si>
    <t>731-297-1255</t>
  </si>
  <si>
    <t>95-995</t>
  </si>
  <si>
    <t>CARMELLA</t>
  </si>
  <si>
    <t>MORA</t>
  </si>
  <si>
    <t>2824 Wilson Avenue</t>
  </si>
  <si>
    <t>Garland</t>
  </si>
  <si>
    <t>CarmellaCMora@aol.com</t>
  </si>
  <si>
    <t>972-485-7316</t>
  </si>
  <si>
    <t>54-199</t>
  </si>
  <si>
    <t>ALLISON</t>
  </si>
  <si>
    <t>PATTON</t>
  </si>
  <si>
    <t>1879 Pine Street</t>
  </si>
  <si>
    <t>Crafton</t>
  </si>
  <si>
    <t>AllisonIPatton@aol.com</t>
  </si>
  <si>
    <t>724-263-7131</t>
  </si>
  <si>
    <t>62-797</t>
  </si>
  <si>
    <t>THURMAN</t>
  </si>
  <si>
    <t>2396 Howard Street</t>
  </si>
  <si>
    <t>Wyoming</t>
  </si>
  <si>
    <t>RobertSThurman@aol.com</t>
  </si>
  <si>
    <t>616-510-1257</t>
  </si>
  <si>
    <t>50-485</t>
  </si>
  <si>
    <t>MEREDITH</t>
  </si>
  <si>
    <t>BAILEY</t>
  </si>
  <si>
    <t>4273 Douglas Dairy Road</t>
  </si>
  <si>
    <t>Wytheville</t>
  </si>
  <si>
    <t>MeredithJBailey@gmail.com</t>
  </si>
  <si>
    <t>276-617-4436</t>
  </si>
  <si>
    <t>01-678</t>
  </si>
  <si>
    <t>MARIA</t>
  </si>
  <si>
    <t>NEAL</t>
  </si>
  <si>
    <t>4040 McDonald Avenue</t>
  </si>
  <si>
    <t>Longwood</t>
  </si>
  <si>
    <t>MariaFNeal@hotmail.com</t>
  </si>
  <si>
    <t>407-832-6664</t>
  </si>
  <si>
    <t>12-814</t>
  </si>
  <si>
    <t>PABLO</t>
  </si>
  <si>
    <t>BREEDLOVE</t>
  </si>
  <si>
    <t>2246 Leroy Lane</t>
  </si>
  <si>
    <t>Watertown</t>
  </si>
  <si>
    <t>PabloJBreedlove@hotmail.com</t>
  </si>
  <si>
    <t>605-882-7735</t>
  </si>
  <si>
    <t>74-7337</t>
  </si>
  <si>
    <t>4286 Timbercrest Road</t>
  </si>
  <si>
    <t>Chugiak</t>
  </si>
  <si>
    <t>MelissaJFlores@aol.com</t>
  </si>
  <si>
    <t>907-688-3323</t>
  </si>
  <si>
    <t>46-6406</t>
  </si>
  <si>
    <t>NELSON</t>
  </si>
  <si>
    <t>3206 University Hill Road</t>
  </si>
  <si>
    <t>Mattoon</t>
  </si>
  <si>
    <t>RobertBNelson@hotmail.com</t>
  </si>
  <si>
    <t>217-603-5699</t>
  </si>
  <si>
    <t>36-5491</t>
  </si>
  <si>
    <t>2264 Tyler Avenue</t>
  </si>
  <si>
    <t>JerrySTorres@aol.com</t>
  </si>
  <si>
    <t>305-336-9391</t>
  </si>
  <si>
    <t>89-1017</t>
  </si>
  <si>
    <t>THEDA</t>
  </si>
  <si>
    <t>MATHIS</t>
  </si>
  <si>
    <t>4689 Cityview Drive</t>
  </si>
  <si>
    <t>Eagleville</t>
  </si>
  <si>
    <t>ThedaNMathis@hotmail.com</t>
  </si>
  <si>
    <t>610-476-5230</t>
  </si>
  <si>
    <t>34-169</t>
  </si>
  <si>
    <t>LESLIE</t>
  </si>
  <si>
    <t>FOGLE</t>
  </si>
  <si>
    <t>2406 Arron Smith Drive</t>
  </si>
  <si>
    <t>Honolulu</t>
  </si>
  <si>
    <t>HI</t>
  </si>
  <si>
    <t>LeslieJFogle@hotmail.com</t>
  </si>
  <si>
    <t>808-467-6020</t>
  </si>
  <si>
    <t>03-991</t>
  </si>
  <si>
    <t>BEATRICE</t>
  </si>
  <si>
    <t>SANCHEZ</t>
  </si>
  <si>
    <t>3708 Rafe Lane</t>
  </si>
  <si>
    <t>Tupelo</t>
  </si>
  <si>
    <t>BeatriceKSanchez@hotmail.com</t>
  </si>
  <si>
    <t>662-691-0811</t>
  </si>
  <si>
    <t>03-7749</t>
  </si>
  <si>
    <t>HARTLEY</t>
  </si>
  <si>
    <t>3582 Echo Lane</t>
  </si>
  <si>
    <t>Grand Rapids</t>
  </si>
  <si>
    <t>JamesRHartley@gmail.com</t>
  </si>
  <si>
    <t>269-815-1770</t>
  </si>
  <si>
    <t>15-0729</t>
  </si>
  <si>
    <t>SCOTT</t>
  </si>
  <si>
    <t>BULL</t>
  </si>
  <si>
    <t>666 Berkley Street</t>
  </si>
  <si>
    <t>Collegeville</t>
  </si>
  <si>
    <t>ScottWBull@aol.com</t>
  </si>
  <si>
    <t>484-902-6607</t>
  </si>
  <si>
    <t>80-0419</t>
  </si>
  <si>
    <t>GABRIELA</t>
  </si>
  <si>
    <t>JACKSON</t>
  </si>
  <si>
    <t>4588 Pallet Street</t>
  </si>
  <si>
    <t>New York</t>
  </si>
  <si>
    <t>GabrielaBJackson@aol.com</t>
  </si>
  <si>
    <t>914-315-5689</t>
  </si>
  <si>
    <t>05-187</t>
  </si>
  <si>
    <t>AGNES</t>
  </si>
  <si>
    <t>SCHMIDT</t>
  </si>
  <si>
    <t>876 Logan Lane</t>
  </si>
  <si>
    <t>AgnesMSchmidt@aol.com</t>
  </si>
  <si>
    <t>303-285-1449</t>
  </si>
  <si>
    <t>04-2522</t>
  </si>
  <si>
    <t>TROY</t>
  </si>
  <si>
    <t>CASTELLANOS</t>
  </si>
  <si>
    <t>4622 Hillhaven Drive</t>
  </si>
  <si>
    <t>Long Beach</t>
  </si>
  <si>
    <t>TroyJCastellanos@gmail.com</t>
  </si>
  <si>
    <t>323-904-6802</t>
  </si>
  <si>
    <t>11-3510</t>
  </si>
  <si>
    <t>CONCETTA</t>
  </si>
  <si>
    <t>WOODRUFF</t>
  </si>
  <si>
    <t>4968 Fairmont Avenue</t>
  </si>
  <si>
    <t>Lexington</t>
  </si>
  <si>
    <t>ConcettaBWoodruff@aol.com</t>
  </si>
  <si>
    <t>660-259-4549</t>
  </si>
  <si>
    <t>40-9485</t>
  </si>
  <si>
    <t>TRACY</t>
  </si>
  <si>
    <t>BERRY</t>
  </si>
  <si>
    <t>1078 Spring Avenue</t>
  </si>
  <si>
    <t>TracyRBerry@hotmail.com</t>
  </si>
  <si>
    <t>267-715-9830</t>
  </si>
  <si>
    <t>16-381</t>
  </si>
  <si>
    <t>TABER</t>
  </si>
  <si>
    <t>3787 Pin Oak Drive</t>
  </si>
  <si>
    <t>Guttenberg</t>
  </si>
  <si>
    <t>DavidHTaber@hotmail.com</t>
  </si>
  <si>
    <t>563-252-9377</t>
  </si>
  <si>
    <t>21-4591</t>
  </si>
  <si>
    <t>ANITA</t>
  </si>
  <si>
    <t>SACHS</t>
  </si>
  <si>
    <t>677 Brighton Circle Road</t>
  </si>
  <si>
    <t>Hutchinson</t>
  </si>
  <si>
    <t>AnitaJSachs@hotmail.com</t>
  </si>
  <si>
    <t>320-552-4063</t>
  </si>
  <si>
    <t>76-479</t>
  </si>
  <si>
    <t>XAVIER</t>
  </si>
  <si>
    <t>1993 Lucy Lane</t>
  </si>
  <si>
    <t>Butlerville</t>
  </si>
  <si>
    <t>XavierMBrown@hotmail.com</t>
  </si>
  <si>
    <t>812-458-6289</t>
  </si>
  <si>
    <t>26-9281</t>
  </si>
  <si>
    <t>KATHY</t>
  </si>
  <si>
    <t>HUTTO</t>
  </si>
  <si>
    <t>4029 Everette Alley</t>
  </si>
  <si>
    <t>Miami</t>
  </si>
  <si>
    <t>KathyRHutto@aol.com</t>
  </si>
  <si>
    <t>954-738-6457</t>
  </si>
  <si>
    <t>74-265</t>
  </si>
  <si>
    <t>EVELYNE</t>
  </si>
  <si>
    <t>4459 McKinley Avenue</t>
  </si>
  <si>
    <t>EvelyneEWilliams@aol.com</t>
  </si>
  <si>
    <t>303-765-8535</t>
  </si>
  <si>
    <t>38-704</t>
  </si>
  <si>
    <t>WALTERS</t>
  </si>
  <si>
    <t>3762 Abner Road</t>
  </si>
  <si>
    <t>Stratford</t>
  </si>
  <si>
    <t>DavidMWalters@aol.com</t>
  </si>
  <si>
    <t>715-391-1204</t>
  </si>
  <si>
    <t>28-400</t>
  </si>
  <si>
    <t>ROSEMARY</t>
  </si>
  <si>
    <t>QUINN</t>
  </si>
  <si>
    <t>4743 Felosa Drive</t>
  </si>
  <si>
    <t>Santa Fe Springs</t>
  </si>
  <si>
    <t>RosemaryJQuinn@gmail.com</t>
  </si>
  <si>
    <t>323-972-5350</t>
  </si>
  <si>
    <t>10-2225</t>
  </si>
  <si>
    <t>LUPE</t>
  </si>
  <si>
    <t>HEATH</t>
  </si>
  <si>
    <t>4758 Cunningham Court</t>
  </si>
  <si>
    <t>Westland</t>
  </si>
  <si>
    <t>LupeKHeath@hotmail.com</t>
  </si>
  <si>
    <t>248-670-1284</t>
  </si>
  <si>
    <t>10-822</t>
  </si>
  <si>
    <t>DANIELLE</t>
  </si>
  <si>
    <t>PALMER</t>
  </si>
  <si>
    <t>398 Valley Drive</t>
  </si>
  <si>
    <t>Plymouth Meeting</t>
  </si>
  <si>
    <t>DanielleTPalmer@hotmail.com</t>
  </si>
  <si>
    <t>267-374-3082</t>
  </si>
  <si>
    <t>74-5648</t>
  </si>
  <si>
    <t>WHITAKER</t>
  </si>
  <si>
    <t>673 Hall Valley Drive</t>
  </si>
  <si>
    <t>Sophia</t>
  </si>
  <si>
    <t>LesliePWhitaker@hotmail.com</t>
  </si>
  <si>
    <t>304-683-1108</t>
  </si>
  <si>
    <t>32-570</t>
  </si>
  <si>
    <t>TERRANCE</t>
  </si>
  <si>
    <t>1346 Pinewood Drive</t>
  </si>
  <si>
    <t>Wheeling</t>
  </si>
  <si>
    <t>TerranceVJohnson@hotmail.com</t>
  </si>
  <si>
    <t>847-861-0967</t>
  </si>
  <si>
    <t>03-753</t>
  </si>
  <si>
    <t>JESSE</t>
  </si>
  <si>
    <t>CATLIN</t>
  </si>
  <si>
    <t>1291 Pheasant Ridge Road</t>
  </si>
  <si>
    <t>JesseJCatlin@aol.com</t>
  </si>
  <si>
    <t>215-525-3830</t>
  </si>
  <si>
    <t>28-6361</t>
  </si>
  <si>
    <t>KINSLEY</t>
  </si>
  <si>
    <t>4699 Alexander Drive</t>
  </si>
  <si>
    <t>Byers</t>
  </si>
  <si>
    <t>MariaAKinsley@gmail.com</t>
  </si>
  <si>
    <t>940-529-0323</t>
  </si>
  <si>
    <t>46-660</t>
  </si>
  <si>
    <t>WILLIAM</t>
  </si>
  <si>
    <t>POTTS</t>
  </si>
  <si>
    <t>511 Fleming Way</t>
  </si>
  <si>
    <t>Richmond</t>
  </si>
  <si>
    <t>WilliamBPotts@gmail.com</t>
  </si>
  <si>
    <t>804-724-5205</t>
  </si>
  <si>
    <t>03-3726</t>
  </si>
  <si>
    <t>MAGNUSSON</t>
  </si>
  <si>
    <t>1592 Euclid Avenue</t>
  </si>
  <si>
    <t>Los Alamos</t>
  </si>
  <si>
    <t>DanielleHMagnusson@aol.com</t>
  </si>
  <si>
    <t>805-344-2705</t>
  </si>
  <si>
    <t>21-7249</t>
  </si>
  <si>
    <t>WOODY</t>
  </si>
  <si>
    <t>2927 Saint James Drive</t>
  </si>
  <si>
    <t>Dillsburg</t>
  </si>
  <si>
    <t>HeidiRWoody@aol.com</t>
  </si>
  <si>
    <t>717-502-2596</t>
  </si>
  <si>
    <t>74-389</t>
  </si>
  <si>
    <t>REYNOLDS</t>
  </si>
  <si>
    <t>342 Heritage Road</t>
  </si>
  <si>
    <t>Fresno</t>
  </si>
  <si>
    <t>GeorgeAReynolds@hotmail.com</t>
  </si>
  <si>
    <t>559-750-6863</t>
  </si>
  <si>
    <t>40-2623</t>
  </si>
  <si>
    <t>MARLIN</t>
  </si>
  <si>
    <t>CAMBRIDGE</t>
  </si>
  <si>
    <t>4128 Still Street</t>
  </si>
  <si>
    <t>Oregon</t>
  </si>
  <si>
    <t>MarlinFCambridge@gmail.com</t>
  </si>
  <si>
    <t>419-696-7169</t>
  </si>
  <si>
    <t>24-2193</t>
  </si>
  <si>
    <t>LUCY</t>
  </si>
  <si>
    <t>MURRAY</t>
  </si>
  <si>
    <t>4983 Clay Lick Road</t>
  </si>
  <si>
    <t>LucyWMurray@hotmail.com</t>
  </si>
  <si>
    <t>720-530-1785</t>
  </si>
  <si>
    <t>93-527</t>
  </si>
  <si>
    <t>NUMBERS</t>
  </si>
  <si>
    <t>1046 Saints Alley</t>
  </si>
  <si>
    <t>Tampa</t>
  </si>
  <si>
    <t>MarkMNumbers@hotmail.com</t>
  </si>
  <si>
    <t>813-774-9998</t>
  </si>
  <si>
    <t>24-156</t>
  </si>
  <si>
    <t>GROVER</t>
  </si>
  <si>
    <t>MANNING</t>
  </si>
  <si>
    <t>2958 Harron Drive</t>
  </si>
  <si>
    <t>GroverLManning@gmail.com</t>
  </si>
  <si>
    <t>443-441-3108</t>
  </si>
  <si>
    <t>03-0868</t>
  </si>
  <si>
    <t>SIMMONS</t>
  </si>
  <si>
    <t>1074 Quiet Valley Lane</t>
  </si>
  <si>
    <t>Calabasas</t>
  </si>
  <si>
    <t>PatriciaASimmons@hotmail.com</t>
  </si>
  <si>
    <t>818-871-5647</t>
  </si>
  <si>
    <t>27-081</t>
  </si>
  <si>
    <t>VIVIAN</t>
  </si>
  <si>
    <t>ROSARIO</t>
  </si>
  <si>
    <t>3892 Lunetta Street</t>
  </si>
  <si>
    <t>Port Charlotte</t>
  </si>
  <si>
    <t>VivianJRosario@hotmail.com</t>
  </si>
  <si>
    <t>941-235-5999</t>
  </si>
  <si>
    <t>10-618</t>
  </si>
  <si>
    <t>FOLTZ</t>
  </si>
  <si>
    <t>4096 Diamond Cove</t>
  </si>
  <si>
    <t>MaryMFoltz@gmail.com</t>
  </si>
  <si>
    <t>401-350-1932</t>
  </si>
  <si>
    <t>14-318</t>
  </si>
  <si>
    <t>MARTIN</t>
  </si>
  <si>
    <t>SCHAAL</t>
  </si>
  <si>
    <t>2501 Libby Street</t>
  </si>
  <si>
    <t>Santa Monica</t>
  </si>
  <si>
    <t>MartinTSchaal@hotmail.com</t>
  </si>
  <si>
    <t>310-267-5199</t>
  </si>
  <si>
    <t>90-1277</t>
  </si>
  <si>
    <t>KILE</t>
  </si>
  <si>
    <t>3832 Selah Way</t>
  </si>
  <si>
    <t>East Fairfield</t>
  </si>
  <si>
    <t>JohnCKile@hotmail.com</t>
  </si>
  <si>
    <t>802-664-2037</t>
  </si>
  <si>
    <t>20-6645</t>
  </si>
  <si>
    <t>JOAN</t>
  </si>
  <si>
    <t>WILLINGHAM</t>
  </si>
  <si>
    <t>4558 Richison Drive</t>
  </si>
  <si>
    <t>Kalispell</t>
  </si>
  <si>
    <t>MT</t>
  </si>
  <si>
    <t>JoanJWillingham@hotmail.com</t>
  </si>
  <si>
    <t>406-257-3839</t>
  </si>
  <si>
    <t>94-6503</t>
  </si>
  <si>
    <t>LONG</t>
  </si>
  <si>
    <t>2975 Sun Valley Road</t>
  </si>
  <si>
    <t>Granger</t>
  </si>
  <si>
    <t>BarbaraLLong@hotmail.com</t>
  </si>
  <si>
    <t>509-854-4493</t>
  </si>
  <si>
    <t>31-9542</t>
  </si>
  <si>
    <t>STUART</t>
  </si>
  <si>
    <t>485 Hog Camp Road</t>
  </si>
  <si>
    <t>DavidNStuart@hotmail.com</t>
  </si>
  <si>
    <t>708-525-4749</t>
  </si>
  <si>
    <t>05-1085</t>
  </si>
  <si>
    <t>EASLEY</t>
  </si>
  <si>
    <t>2669 Diane Street</t>
  </si>
  <si>
    <t>Thousand Oaks</t>
  </si>
  <si>
    <t>RonaldAEasley@aol.com</t>
  </si>
  <si>
    <t>805-373-3889</t>
  </si>
  <si>
    <t>21-051</t>
  </si>
  <si>
    <t>SHARON</t>
  </si>
  <si>
    <t>GRAHAM</t>
  </si>
  <si>
    <t>1017 Redbud Drive</t>
  </si>
  <si>
    <t>SharonRGraham@aol.com</t>
  </si>
  <si>
    <t>347-697-5792</t>
  </si>
  <si>
    <t>34-2125</t>
  </si>
  <si>
    <t>DARRYL</t>
  </si>
  <si>
    <t>RAMIREZ</t>
  </si>
  <si>
    <t>2860 Midway Road</t>
  </si>
  <si>
    <t>Fort Smith</t>
  </si>
  <si>
    <t>AR</t>
  </si>
  <si>
    <t>DarrylERamirez@aol.com</t>
  </si>
  <si>
    <t>479-466-7147</t>
  </si>
  <si>
    <t>12-056</t>
  </si>
  <si>
    <t>ANNE</t>
  </si>
  <si>
    <t>ZAMORA</t>
  </si>
  <si>
    <t>2415 Willison Street</t>
  </si>
  <si>
    <t>AnneDZamora@gmail.com</t>
  </si>
  <si>
    <t>763-232-7639</t>
  </si>
  <si>
    <t>04-307</t>
  </si>
  <si>
    <t>ISAIAH</t>
  </si>
  <si>
    <t>BUCKNER</t>
  </si>
  <si>
    <t>1812 Armbrester Drive</t>
  </si>
  <si>
    <t>IsaiahLBuckner@gmail.com</t>
  </si>
  <si>
    <t>310-458-2929</t>
  </si>
  <si>
    <t>58-4498</t>
  </si>
  <si>
    <t>ANGIE</t>
  </si>
  <si>
    <t>GLASSMAN</t>
  </si>
  <si>
    <t>4886 Edwards Street</t>
  </si>
  <si>
    <t>New Bern</t>
  </si>
  <si>
    <t>AngieCGlassman@hotmail.com</t>
  </si>
  <si>
    <t>252-636-3151</t>
  </si>
  <si>
    <t>67-4735</t>
  </si>
  <si>
    <t>STEPHEN</t>
  </si>
  <si>
    <t>BERNIER</t>
  </si>
  <si>
    <t>547 Saints Alley</t>
  </si>
  <si>
    <t>Plant City</t>
  </si>
  <si>
    <t>StephenDBernier@hotmail.com</t>
  </si>
  <si>
    <t>813-545-6399</t>
  </si>
  <si>
    <t>46-331</t>
  </si>
  <si>
    <t>DOROTHY</t>
  </si>
  <si>
    <t>RANSOM</t>
  </si>
  <si>
    <t>2933 Argonne Street</t>
  </si>
  <si>
    <t>New Castle</t>
  </si>
  <si>
    <t>DE</t>
  </si>
  <si>
    <t>DorothyGRansom@aol.com</t>
  </si>
  <si>
    <t>302-328-5806</t>
  </si>
  <si>
    <t>84-695</t>
  </si>
  <si>
    <t>GENEVIEVE</t>
  </si>
  <si>
    <t>TARANTO</t>
  </si>
  <si>
    <t>4477 Marshall Street</t>
  </si>
  <si>
    <t>Berlin</t>
  </si>
  <si>
    <t>GenevieveWTaranto@gmail.com</t>
  </si>
  <si>
    <t>410-629-0583</t>
  </si>
  <si>
    <t>23-168</t>
  </si>
  <si>
    <t>KINNER</t>
  </si>
  <si>
    <t>518 Midway Road</t>
  </si>
  <si>
    <t>EdwardEKinner@aol.com</t>
  </si>
  <si>
    <t>479-461-1718</t>
  </si>
  <si>
    <t>09-098</t>
  </si>
  <si>
    <t>FIGUEROA</t>
  </si>
  <si>
    <t>4050 Perine Street</t>
  </si>
  <si>
    <t>Mclean</t>
  </si>
  <si>
    <t>DianeJFigueroa@aol.com</t>
  </si>
  <si>
    <t>703-762-0541</t>
  </si>
  <si>
    <t>94-840</t>
  </si>
  <si>
    <t>PHYLLIS</t>
  </si>
  <si>
    <t>2236 Massachusetts Avenue</t>
  </si>
  <si>
    <t>Washington</t>
  </si>
  <si>
    <t>DC</t>
  </si>
  <si>
    <t>PhyllisCBrown@hotmail.com</t>
  </si>
  <si>
    <t>202-686-6356</t>
  </si>
  <si>
    <t>96-8910</t>
  </si>
  <si>
    <t>TODD</t>
  </si>
  <si>
    <t>HOOKER</t>
  </si>
  <si>
    <t>3164 Collins Avenue</t>
  </si>
  <si>
    <t>ToddLHooker@gmail.com</t>
  </si>
  <si>
    <t>614-782-6925</t>
  </si>
  <si>
    <t>90-7779</t>
  </si>
  <si>
    <t>RHEA</t>
  </si>
  <si>
    <t>DICK</t>
  </si>
  <si>
    <t>3813 Prudence Street</t>
  </si>
  <si>
    <t>Southfield</t>
  </si>
  <si>
    <t>RheaTDick@hotmail.com</t>
  </si>
  <si>
    <t>313-321-8117</t>
  </si>
  <si>
    <t>28-105</t>
  </si>
  <si>
    <t>PAYNE</t>
  </si>
  <si>
    <t>3200 Melody Lane</t>
  </si>
  <si>
    <t>Glen Allen</t>
  </si>
  <si>
    <t>TeresaTPayne@aol.com</t>
  </si>
  <si>
    <t>804-349-2459</t>
  </si>
  <si>
    <t>03-061</t>
  </si>
  <si>
    <t>SHAWN</t>
  </si>
  <si>
    <t>SOLOMON</t>
  </si>
  <si>
    <t>258 Confederate Drive</t>
  </si>
  <si>
    <t>New Woodstock</t>
  </si>
  <si>
    <t>ShawnMSolomon@gmail.com</t>
  </si>
  <si>
    <t>315-662-5924</t>
  </si>
  <si>
    <t>03-546</t>
  </si>
  <si>
    <t>LEONARD</t>
  </si>
  <si>
    <t>CONNOLLY</t>
  </si>
  <si>
    <t>1601 Quincy Street</t>
  </si>
  <si>
    <t>Warminster</t>
  </si>
  <si>
    <t>LeonardVConnolly@gmail.com</t>
  </si>
  <si>
    <t>267-497-5517</t>
  </si>
  <si>
    <t>28-7118</t>
  </si>
  <si>
    <t>BEULAH</t>
  </si>
  <si>
    <t>GARNETT</t>
  </si>
  <si>
    <t>3843 Musgrave Street</t>
  </si>
  <si>
    <t>Oklahoma City</t>
  </si>
  <si>
    <t>BeulahMGarnett@gmail.com</t>
  </si>
  <si>
    <t>405-232-5203</t>
  </si>
  <si>
    <t>96-6160</t>
  </si>
  <si>
    <t>YELLE</t>
  </si>
  <si>
    <t>3303 Woodridge Lane</t>
  </si>
  <si>
    <t>Memphis</t>
  </si>
  <si>
    <t>GeneTYelle@gmail.com</t>
  </si>
  <si>
    <t>901-312-4432</t>
  </si>
  <si>
    <t>31-537</t>
  </si>
  <si>
    <t>AKERS</t>
  </si>
  <si>
    <t>4823 Simpson Square</t>
  </si>
  <si>
    <t>Guymon</t>
  </si>
  <si>
    <t>ShannonGAkers@hotmail.com</t>
  </si>
  <si>
    <t>580-643-5025</t>
  </si>
  <si>
    <t>22-8780</t>
  </si>
  <si>
    <t>MCCUE</t>
  </si>
  <si>
    <t>844 Argonne Street</t>
  </si>
  <si>
    <t>JamesDMcCue@aol.com</t>
  </si>
  <si>
    <t>302-323-7123</t>
  </si>
  <si>
    <t>01-111</t>
  </si>
  <si>
    <t>FERNANDO</t>
  </si>
  <si>
    <t>WEST</t>
  </si>
  <si>
    <t>3195 Davis Avenue</t>
  </si>
  <si>
    <t>Oakland</t>
  </si>
  <si>
    <t>FernandoJWest@hotmail.com</t>
  </si>
  <si>
    <t>707-710-1679</t>
  </si>
  <si>
    <t>26-9448</t>
  </si>
  <si>
    <t>DELLA</t>
  </si>
  <si>
    <t>QUILLEN</t>
  </si>
  <si>
    <t>10 Pursglove Court</t>
  </si>
  <si>
    <t>Dayton</t>
  </si>
  <si>
    <t>DellaJQuillen@hotmail.com</t>
  </si>
  <si>
    <t>937-334-4086</t>
  </si>
  <si>
    <t>02-939</t>
  </si>
  <si>
    <t>DILLON</t>
  </si>
  <si>
    <t>2622 Rhode Island Avenue</t>
  </si>
  <si>
    <t>DillonPWilliams@aol.com</t>
  </si>
  <si>
    <t>202-383-0909</t>
  </si>
  <si>
    <t>80-263</t>
  </si>
  <si>
    <t>PAUL</t>
  </si>
  <si>
    <t>4339 Michigan Avenue</t>
  </si>
  <si>
    <t>Claysville</t>
  </si>
  <si>
    <t>PaulSJohnson@hotmail.com</t>
  </si>
  <si>
    <t>724-663-1197</t>
  </si>
  <si>
    <t>03-8287</t>
  </si>
  <si>
    <t>NICHOLAS</t>
  </si>
  <si>
    <t>STICE</t>
  </si>
  <si>
    <t>2973 Mulberry Lane</t>
  </si>
  <si>
    <t>West Palm Beach</t>
  </si>
  <si>
    <t>NicholasJStice@aol.com</t>
  </si>
  <si>
    <t>561-751-6293</t>
  </si>
  <si>
    <t>22-952</t>
  </si>
  <si>
    <t>DANNY</t>
  </si>
  <si>
    <t>QUESADA</t>
  </si>
  <si>
    <t>2249 Elliot Avenue</t>
  </si>
  <si>
    <t>Seattle</t>
  </si>
  <si>
    <t>DannyMQuesada@hotmail.com</t>
  </si>
  <si>
    <t>206-632-7520</t>
  </si>
  <si>
    <t>45-1137</t>
  </si>
  <si>
    <t>3033 Hickory Ridge Drive</t>
  </si>
  <si>
    <t>Las Vegas</t>
  </si>
  <si>
    <t>NV</t>
  </si>
  <si>
    <t>PatrickCJohnson@gmail.com</t>
  </si>
  <si>
    <t>702-646-7948</t>
  </si>
  <si>
    <t>34-2493</t>
  </si>
  <si>
    <t>WHITE</t>
  </si>
  <si>
    <t>4305 Parkview Drive</t>
  </si>
  <si>
    <t>Anaheim</t>
  </si>
  <si>
    <t>ChristopherJWhite@gmail.com</t>
  </si>
  <si>
    <t>714-227-7227</t>
  </si>
  <si>
    <t>17-5058</t>
  </si>
  <si>
    <t>WASHINGTON</t>
  </si>
  <si>
    <t>1523 Melrose Street</t>
  </si>
  <si>
    <t>Ellensburg</t>
  </si>
  <si>
    <t>JamesKWashington@gmail.com</t>
  </si>
  <si>
    <t>509-929-2283</t>
  </si>
  <si>
    <t>11-972</t>
  </si>
  <si>
    <t>PIERCE</t>
  </si>
  <si>
    <t>509 Coburn Hollow Road</t>
  </si>
  <si>
    <t>Minier</t>
  </si>
  <si>
    <t>ChristineTPierce@gmail.com</t>
  </si>
  <si>
    <t>309-392-0556</t>
  </si>
  <si>
    <t>32-1065</t>
  </si>
  <si>
    <t>MARIE</t>
  </si>
  <si>
    <t>240 Locust Street</t>
  </si>
  <si>
    <t>Thomasville</t>
  </si>
  <si>
    <t>MarieDWilliams@gmail.com</t>
  </si>
  <si>
    <t>229-672-6963</t>
  </si>
  <si>
    <t>07-7201</t>
  </si>
  <si>
    <t>4591 Hurry Street</t>
  </si>
  <si>
    <t>Roanoke</t>
  </si>
  <si>
    <t>SharonAHamilton@aol.com</t>
  </si>
  <si>
    <t>540-344-8487</t>
  </si>
  <si>
    <t>54-828</t>
  </si>
  <si>
    <t>LANDON</t>
  </si>
  <si>
    <t>BRYAN</t>
  </si>
  <si>
    <t>1069 Mount Tabor</t>
  </si>
  <si>
    <t>Westbury</t>
  </si>
  <si>
    <t>LandonSBryan@aol.com</t>
  </si>
  <si>
    <t>914-573-4676</t>
  </si>
  <si>
    <t>86-6711</t>
  </si>
  <si>
    <t>GARRISON</t>
  </si>
  <si>
    <t>4372 Neville Street</t>
  </si>
  <si>
    <t>Bloomington</t>
  </si>
  <si>
    <t>MarkPGarrison@gmail.com</t>
  </si>
  <si>
    <t>812-581-1981</t>
  </si>
  <si>
    <t>86-477</t>
  </si>
  <si>
    <t>JEREMY</t>
  </si>
  <si>
    <t>3597 Creekside Lane</t>
  </si>
  <si>
    <t>San Luis Obispo</t>
  </si>
  <si>
    <t>JeremyAWhitaker@aol.com</t>
  </si>
  <si>
    <t>805-710-2361</t>
  </si>
  <si>
    <t>92-5370</t>
  </si>
  <si>
    <t>MATTHEW</t>
  </si>
  <si>
    <t>DUPRE</t>
  </si>
  <si>
    <t>2943 Stiles Street</t>
  </si>
  <si>
    <t>Bridgeville</t>
  </si>
  <si>
    <t>MatthewMDupre@gmail.com</t>
  </si>
  <si>
    <t>412-585-3743</t>
  </si>
  <si>
    <t>78-1993</t>
  </si>
  <si>
    <t>CARLSON</t>
  </si>
  <si>
    <t>4434 Pinewood Avenue</t>
  </si>
  <si>
    <t>Marquette</t>
  </si>
  <si>
    <t>StephenLCarlson@hotmail.com</t>
  </si>
  <si>
    <t>906-731-6381</t>
  </si>
  <si>
    <t>44-199</t>
  </si>
  <si>
    <t>BIVONA</t>
  </si>
  <si>
    <t>198 Spadafore Drive</t>
  </si>
  <si>
    <t>Tionesta</t>
  </si>
  <si>
    <t>RichardNBivona@gmail.com</t>
  </si>
  <si>
    <t>814-755-0549</t>
  </si>
  <si>
    <t>38-096</t>
  </si>
  <si>
    <t>THERESA</t>
  </si>
  <si>
    <t>WYNN</t>
  </si>
  <si>
    <t>227 Brown Avenue</t>
  </si>
  <si>
    <t>TheresaGWynn@gmail.com</t>
  </si>
  <si>
    <t>865-245-1971</t>
  </si>
  <si>
    <t>73-032</t>
  </si>
  <si>
    <t>SCHELL</t>
  </si>
  <si>
    <t>3950 Sarah Drive</t>
  </si>
  <si>
    <t>Lake Charles</t>
  </si>
  <si>
    <t>GeorgeWSchell@aol.com</t>
  </si>
  <si>
    <t>337-474-8383</t>
  </si>
  <si>
    <t>03-4976</t>
  </si>
  <si>
    <t>DENISE</t>
  </si>
  <si>
    <t>3938 Maxwell Street</t>
  </si>
  <si>
    <t>Stamford</t>
  </si>
  <si>
    <t>CT</t>
  </si>
  <si>
    <t>DeniseDBrown@hotmail.com</t>
  </si>
  <si>
    <t>860-760-6015</t>
  </si>
  <si>
    <t>48-356</t>
  </si>
  <si>
    <t>PHILIP</t>
  </si>
  <si>
    <t>PHILLIPS</t>
  </si>
  <si>
    <t>3414 Fowler Avenue</t>
  </si>
  <si>
    <t>Norcross</t>
  </si>
  <si>
    <t>PhilipGPhillips@aol.com</t>
  </si>
  <si>
    <t>770-245-3087</t>
  </si>
  <si>
    <t>22-981</t>
  </si>
  <si>
    <t>PENDLETON</t>
  </si>
  <si>
    <t>2126 Petunia Way</t>
  </si>
  <si>
    <t>DavidDPendleton@gmail.com</t>
  </si>
  <si>
    <t>205-889-7735</t>
  </si>
  <si>
    <t>45-577</t>
  </si>
  <si>
    <t>1178 Elkview Drive</t>
  </si>
  <si>
    <t>Hialeah</t>
  </si>
  <si>
    <t>ShannonJGreen@aol.com</t>
  </si>
  <si>
    <t>772-268-6487</t>
  </si>
  <si>
    <t>58-025</t>
  </si>
  <si>
    <t>DAVE</t>
  </si>
  <si>
    <t>SPEARS</t>
  </si>
  <si>
    <t>2832 Doctors Drive</t>
  </si>
  <si>
    <t>DaveBSpears@aol.com</t>
  </si>
  <si>
    <t>310-401-9353</t>
  </si>
  <si>
    <t>18-5253</t>
  </si>
  <si>
    <t>TURNER</t>
  </si>
  <si>
    <t>2504 Grant View Drive</t>
  </si>
  <si>
    <t>Milwaukee</t>
  </si>
  <si>
    <t>DavidJTurner@gmail.com</t>
  </si>
  <si>
    <t>414-377-6047</t>
  </si>
  <si>
    <t>19-5312</t>
  </si>
  <si>
    <t>DWYER</t>
  </si>
  <si>
    <t>1562 Twin Willow Lane</t>
  </si>
  <si>
    <t>DanielHDwyer@aol.com</t>
  </si>
  <si>
    <t>910-412-9036</t>
  </si>
  <si>
    <t>01-4116</t>
  </si>
  <si>
    <t>DARLENE</t>
  </si>
  <si>
    <t>WARD</t>
  </si>
  <si>
    <t>4525 Rardin Drive</t>
  </si>
  <si>
    <t>DarleneDWard@aol.com</t>
  </si>
  <si>
    <t>650-696-0121</t>
  </si>
  <si>
    <t>70-4380</t>
  </si>
  <si>
    <t>WALTER</t>
  </si>
  <si>
    <t>GAVIN</t>
  </si>
  <si>
    <t>4463 Garrett Street</t>
  </si>
  <si>
    <t>WalterRGavin@aol.com</t>
  </si>
  <si>
    <t>269-268-1166</t>
  </si>
  <si>
    <t>70-0813</t>
  </si>
  <si>
    <t>GLASPIE</t>
  </si>
  <si>
    <t>3123 Diamond Cove</t>
  </si>
  <si>
    <t>MaryDGlaspie@gmail.com</t>
  </si>
  <si>
    <t>401-313-0452</t>
  </si>
  <si>
    <t>22-1846</t>
  </si>
  <si>
    <t>FRANK</t>
  </si>
  <si>
    <t>SANTOS</t>
  </si>
  <si>
    <t>3255 Snowbird Lane</t>
  </si>
  <si>
    <t>Barneston</t>
  </si>
  <si>
    <t>FrankJSantos@aol.com</t>
  </si>
  <si>
    <t>402-674-6125</t>
  </si>
  <si>
    <t>64-488</t>
  </si>
  <si>
    <t>ARIAS</t>
  </si>
  <si>
    <t>3502 Joyce Street</t>
  </si>
  <si>
    <t>Frankville</t>
  </si>
  <si>
    <t>KevinSArias@gmail.com</t>
  </si>
  <si>
    <t>251-754-8822</t>
  </si>
  <si>
    <t>40-4216</t>
  </si>
  <si>
    <t>FOSTER</t>
  </si>
  <si>
    <t>2429 School Street</t>
  </si>
  <si>
    <t>JamesKFoster@hotmail.com</t>
  </si>
  <si>
    <t>202-889-1944</t>
  </si>
  <si>
    <t>66-3551</t>
  </si>
  <si>
    <t>RANDY</t>
  </si>
  <si>
    <t>1252 Boggess Street</t>
  </si>
  <si>
    <t>Wichita Falls</t>
  </si>
  <si>
    <t>RandyNHarrison@aol.com</t>
  </si>
  <si>
    <t>940-228-9302</t>
  </si>
  <si>
    <t>12-111</t>
  </si>
  <si>
    <t>GRAY</t>
  </si>
  <si>
    <t>1172 Pooh Bear Lane</t>
  </si>
  <si>
    <t>Greenwood</t>
  </si>
  <si>
    <t>BarbaraRGray@gmail.com</t>
  </si>
  <si>
    <t>864-725-0784</t>
  </si>
  <si>
    <t>01-5864</t>
  </si>
  <si>
    <t>MITCHELL</t>
  </si>
  <si>
    <t>3108 Wilkinson Street</t>
  </si>
  <si>
    <t>ChadMMitchell@hotmail.com</t>
  </si>
  <si>
    <t>615-426-6227</t>
  </si>
  <si>
    <t>82-806</t>
  </si>
  <si>
    <t>LAUREN</t>
  </si>
  <si>
    <t>KEESE</t>
  </si>
  <si>
    <t>2705 Trainer Avenue</t>
  </si>
  <si>
    <t>Osco</t>
  </si>
  <si>
    <t>LaurenJKeese@hotmail.com</t>
  </si>
  <si>
    <t>309-522-5188</t>
  </si>
  <si>
    <t>88-859</t>
  </si>
  <si>
    <t>HERNANDEZ</t>
  </si>
  <si>
    <t>908 Bruce Street</t>
  </si>
  <si>
    <t>MaryCHernandez@aol.com</t>
  </si>
  <si>
    <t>314-340-4113</t>
  </si>
  <si>
    <t>68-696</t>
  </si>
  <si>
    <t>VEST</t>
  </si>
  <si>
    <t>222 Middleville Road</t>
  </si>
  <si>
    <t>VictorHVest@gmail.com</t>
  </si>
  <si>
    <t>626-320-5237</t>
  </si>
  <si>
    <t>48-514</t>
  </si>
  <si>
    <t>SHIRLEY</t>
  </si>
  <si>
    <t>DAVENPORT</t>
  </si>
  <si>
    <t>2863 Modoc Alley</t>
  </si>
  <si>
    <t>Meridian</t>
  </si>
  <si>
    <t>ShirleyJDavenport@hotmail.com</t>
  </si>
  <si>
    <t>208-846-4255</t>
  </si>
  <si>
    <t>08-103</t>
  </si>
  <si>
    <t>THOMAS</t>
  </si>
  <si>
    <t>MILLER</t>
  </si>
  <si>
    <t>4598 Asylum Avenue</t>
  </si>
  <si>
    <t>Waterbury</t>
  </si>
  <si>
    <t>ThomasTMiller@aol.com</t>
  </si>
  <si>
    <t>203-756-4654</t>
  </si>
  <si>
    <t>46-058</t>
  </si>
  <si>
    <t>BOBBY</t>
  </si>
  <si>
    <t>PETERSON</t>
  </si>
  <si>
    <t>3420 Glory Road</t>
  </si>
  <si>
    <t>BobbyPPeterson@gmail.com</t>
  </si>
  <si>
    <t>931-903-7838</t>
  </si>
  <si>
    <t>01-908</t>
  </si>
  <si>
    <t>CECELIA</t>
  </si>
  <si>
    <t>MANISCALCO</t>
  </si>
  <si>
    <t>208 Hornor Avenue</t>
  </si>
  <si>
    <t>Bartlesville</t>
  </si>
  <si>
    <t>CeceliaDManiscalco@gmail.com</t>
  </si>
  <si>
    <t>918-327-4974</t>
  </si>
  <si>
    <t>34-6507</t>
  </si>
  <si>
    <t>CURRY</t>
  </si>
  <si>
    <t>3950 Bryan Street</t>
  </si>
  <si>
    <t>Greensboro</t>
  </si>
  <si>
    <t>DorothyMCurry@hotmail.com</t>
  </si>
  <si>
    <t>336-272-7849</t>
  </si>
  <si>
    <t>01-083</t>
  </si>
  <si>
    <t>SUTTER</t>
  </si>
  <si>
    <t>3879 Rocket Drive</t>
  </si>
  <si>
    <t>JohnESutter@hotmail.com</t>
  </si>
  <si>
    <t>612-802-7642</t>
  </si>
  <si>
    <t>72-3278</t>
  </si>
  <si>
    <t>SACKETT</t>
  </si>
  <si>
    <t>1250 James Avenue</t>
  </si>
  <si>
    <t>Fair Haven (Cayuga)</t>
  </si>
  <si>
    <t>MichaelBSackett@gmail.com</t>
  </si>
  <si>
    <t>315-947-9213</t>
  </si>
  <si>
    <t>38-927</t>
  </si>
  <si>
    <t>COOK</t>
  </si>
  <si>
    <t>1225 Rosewood Court</t>
  </si>
  <si>
    <t>Iona</t>
  </si>
  <si>
    <t>PaulCCook@aol.com</t>
  </si>
  <si>
    <t>507-264-9162</t>
  </si>
  <si>
    <t>19-736</t>
  </si>
  <si>
    <t>BEHRENS</t>
  </si>
  <si>
    <t>714 Rosewood Lane</t>
  </si>
  <si>
    <t>RobertDBehrens@gmail.com</t>
  </si>
  <si>
    <t>212-923-0087</t>
  </si>
  <si>
    <t>52-435</t>
  </si>
  <si>
    <t>CHESTER</t>
  </si>
  <si>
    <t>ROBINSON</t>
  </si>
  <si>
    <t>202 Pritchard Court</t>
  </si>
  <si>
    <t>Mankato</t>
  </si>
  <si>
    <t>ChesterSRobinson@hotmail.com</t>
  </si>
  <si>
    <t>507-380-7249</t>
  </si>
  <si>
    <t>14-1070</t>
  </si>
  <si>
    <t>FREDRICK</t>
  </si>
  <si>
    <t>KIRST</t>
  </si>
  <si>
    <t>3617 Pickens Way</t>
  </si>
  <si>
    <t>Longview</t>
  </si>
  <si>
    <t>FredrickVKirst@hotmail.com</t>
  </si>
  <si>
    <t>903-330-0685</t>
  </si>
  <si>
    <t>66-1546</t>
  </si>
  <si>
    <t>RANDALL</t>
  </si>
  <si>
    <t>BEATY</t>
  </si>
  <si>
    <t>860 Davis Street</t>
  </si>
  <si>
    <t>Athens</t>
  </si>
  <si>
    <t>RandallDBeaty@hotmail.com</t>
  </si>
  <si>
    <t>706-389-3066</t>
  </si>
  <si>
    <t>10-924</t>
  </si>
  <si>
    <t>2354 Walt Nuzum Farm Road</t>
  </si>
  <si>
    <t>Canandaigua</t>
  </si>
  <si>
    <t>LindaRHernandez@gmail.com</t>
  </si>
  <si>
    <t>585-396-9512</t>
  </si>
  <si>
    <t>88-8968</t>
  </si>
  <si>
    <t>JEROME</t>
  </si>
  <si>
    <t>PERRY</t>
  </si>
  <si>
    <t>440 Harley Brook Lane</t>
  </si>
  <si>
    <t>Johnstown</t>
  </si>
  <si>
    <t>JeromeLPerry@hotmail.com</t>
  </si>
  <si>
    <t>814-599-6725</t>
  </si>
  <si>
    <t>66-719</t>
  </si>
  <si>
    <t>PITTMAN</t>
  </si>
  <si>
    <t>3874 Tea Berry Lane</t>
  </si>
  <si>
    <t>Stevens Point</t>
  </si>
  <si>
    <t>RichardMPittman@aol.com</t>
  </si>
  <si>
    <t>715-722-0751</t>
  </si>
  <si>
    <t>28-346</t>
  </si>
  <si>
    <t>HELEN</t>
  </si>
  <si>
    <t>OLSON</t>
  </si>
  <si>
    <t>2493 Oak Street</t>
  </si>
  <si>
    <t>East Syracuse</t>
  </si>
  <si>
    <t>HelenDOlson@gmail.com</t>
  </si>
  <si>
    <t>315-405-8099</t>
  </si>
  <si>
    <t>68-7943</t>
  </si>
  <si>
    <t>RUTH</t>
  </si>
  <si>
    <t>2706 Adamsville Road</t>
  </si>
  <si>
    <t>Harlingen</t>
  </si>
  <si>
    <t>RuthGWard@hotmail.com</t>
  </si>
  <si>
    <t>956-707-0282</t>
  </si>
  <si>
    <t>18-0003</t>
  </si>
  <si>
    <t>READ</t>
  </si>
  <si>
    <t>208 Liberty Street</t>
  </si>
  <si>
    <t>GregoryJRead@hotmail.com</t>
  </si>
  <si>
    <t>214-905-1653</t>
  </si>
  <si>
    <t>70-8565</t>
  </si>
  <si>
    <t>SCHIRO</t>
  </si>
  <si>
    <t>2276 Clinton Street</t>
  </si>
  <si>
    <t>Norristown</t>
  </si>
  <si>
    <t>MichaelMSchiro@hotmail.com</t>
  </si>
  <si>
    <t>484-979-2720</t>
  </si>
  <si>
    <t>66-7700</t>
  </si>
  <si>
    <t>FUMIKO</t>
  </si>
  <si>
    <t>ESTEP</t>
  </si>
  <si>
    <t>1121 Asylum Avenue</t>
  </si>
  <si>
    <t>Naugatuck</t>
  </si>
  <si>
    <t>FumikoAEstep@aol.com</t>
  </si>
  <si>
    <t>203-720-8403</t>
  </si>
  <si>
    <t>52-163</t>
  </si>
  <si>
    <t>PINNEY</t>
  </si>
  <si>
    <t>3149 Stanley Avenue</t>
  </si>
  <si>
    <t>Garden City</t>
  </si>
  <si>
    <t>MichaelDPinney@aol.com</t>
  </si>
  <si>
    <t>516-534-2203</t>
  </si>
  <si>
    <t>12-7865</t>
  </si>
  <si>
    <t>JESSICA</t>
  </si>
  <si>
    <t>CHAUDHRY</t>
  </si>
  <si>
    <t>4111 Prospect Street</t>
  </si>
  <si>
    <t>Pennsville</t>
  </si>
  <si>
    <t>JessicaBChaudhry@aol.com</t>
  </si>
  <si>
    <t>856-678-0016</t>
  </si>
  <si>
    <t>01-6869</t>
  </si>
  <si>
    <t>EMILIA</t>
  </si>
  <si>
    <t>1962 Camden Place</t>
  </si>
  <si>
    <t>Dillon</t>
  </si>
  <si>
    <t>EmiliaKBrown@aol.com</t>
  </si>
  <si>
    <t>843-841-0937</t>
  </si>
  <si>
    <t>01-7772</t>
  </si>
  <si>
    <t>1522 Pineview Drive</t>
  </si>
  <si>
    <t>Estherville</t>
  </si>
  <si>
    <t>KennethBHughes@hotmail.com</t>
  </si>
  <si>
    <t>507-862-7634</t>
  </si>
  <si>
    <t>12-7037</t>
  </si>
  <si>
    <t>MCCARY</t>
  </si>
  <si>
    <t>1882 Hilltop Street</t>
  </si>
  <si>
    <t>JanetBMcCary@gmail.com</t>
  </si>
  <si>
    <t>413-612-2907</t>
  </si>
  <si>
    <t>01-158</t>
  </si>
  <si>
    <t>ALMANZA</t>
  </si>
  <si>
    <t>4594 Diane Street</t>
  </si>
  <si>
    <t>Camarillo</t>
  </si>
  <si>
    <t>JasonVAlmanza@aol.com</t>
  </si>
  <si>
    <t>805-386-5275</t>
  </si>
  <si>
    <t>99-9558</t>
  </si>
  <si>
    <t>PETERS</t>
  </si>
  <si>
    <t>3778 Poe Road</t>
  </si>
  <si>
    <t>Scranton</t>
  </si>
  <si>
    <t>AntonioMPeters@aol.com</t>
  </si>
  <si>
    <t>843-210-7921</t>
  </si>
  <si>
    <t>04-1008</t>
  </si>
  <si>
    <t>TRIPP</t>
  </si>
  <si>
    <t>1719 Green Gate Lane</t>
  </si>
  <si>
    <t>Armiger</t>
  </si>
  <si>
    <t>JoanBTripp@aol.com</t>
  </si>
  <si>
    <t>443-770-5360</t>
  </si>
  <si>
    <t>72-959</t>
  </si>
  <si>
    <t>BRADLEY</t>
  </si>
  <si>
    <t>1779 Rosewood Lane</t>
  </si>
  <si>
    <t>JohnMBradley@hotmail.com</t>
  </si>
  <si>
    <t>212-906-5369</t>
  </si>
  <si>
    <t>84-5085</t>
  </si>
  <si>
    <t>MEDLIN</t>
  </si>
  <si>
    <t>1772 Myra Street</t>
  </si>
  <si>
    <t>LauraDMedlin@gmail.com</t>
  </si>
  <si>
    <t>401-456-4014</t>
  </si>
  <si>
    <t>18-6105</t>
  </si>
  <si>
    <t>IOLA</t>
  </si>
  <si>
    <t>DECKARD</t>
  </si>
  <si>
    <t>498 New York Avenue</t>
  </si>
  <si>
    <t>IolaEDeckard@gmail.com</t>
  </si>
  <si>
    <t>818-224-9755</t>
  </si>
  <si>
    <t>31-1907</t>
  </si>
  <si>
    <t>CHARLENE</t>
  </si>
  <si>
    <t>BERLANGA</t>
  </si>
  <si>
    <t>4602 Marshall Street</t>
  </si>
  <si>
    <t>Rising Sun</t>
  </si>
  <si>
    <t>CharleneJBerlanga@aol.com</t>
  </si>
  <si>
    <t>410-658-2837</t>
  </si>
  <si>
    <t>07-2892</t>
  </si>
  <si>
    <t>MAXINE</t>
  </si>
  <si>
    <t>4183 Park Street</t>
  </si>
  <si>
    <t>San Jose</t>
  </si>
  <si>
    <t>MaxineJThomas@gmail.com</t>
  </si>
  <si>
    <t>925-498-1439</t>
  </si>
  <si>
    <t>39-984</t>
  </si>
  <si>
    <t>COLLIER</t>
  </si>
  <si>
    <t>1312 Scheuvront Drive</t>
  </si>
  <si>
    <t>Longmont</t>
  </si>
  <si>
    <t>JenniferLCollier@gmail.com</t>
  </si>
  <si>
    <t>303-485-3220</t>
  </si>
  <si>
    <t>03-1561</t>
  </si>
  <si>
    <t>HAROLD</t>
  </si>
  <si>
    <t>SHIFLETT</t>
  </si>
  <si>
    <t>3289 Woodland Terrace</t>
  </si>
  <si>
    <t>Sacramento</t>
  </si>
  <si>
    <t>HaroldDShiflett@aol.com</t>
  </si>
  <si>
    <t>916-915-4042</t>
  </si>
  <si>
    <t>62-4862</t>
  </si>
  <si>
    <t>SANTIBANEZ</t>
  </si>
  <si>
    <t>3215 Wayside Lane</t>
  </si>
  <si>
    <t>Hayward</t>
  </si>
  <si>
    <t>MelissaNSantibanez@hotmail.com</t>
  </si>
  <si>
    <t>510-293-5989</t>
  </si>
  <si>
    <t>26-588</t>
  </si>
  <si>
    <t>SALVADOR</t>
  </si>
  <si>
    <t>JACQUEZ</t>
  </si>
  <si>
    <t>3383 Holden Street</t>
  </si>
  <si>
    <t>Goreville</t>
  </si>
  <si>
    <t>SalvadorEJacquez@hotmail.com</t>
  </si>
  <si>
    <t>618-995-1946</t>
  </si>
  <si>
    <t>22-288</t>
  </si>
  <si>
    <t>CAROL</t>
  </si>
  <si>
    <t>KONOPKA</t>
  </si>
  <si>
    <t>3168 Dogwood Road</t>
  </si>
  <si>
    <t>Phoenix</t>
  </si>
  <si>
    <t>CarolBKonopka@aol.com</t>
  </si>
  <si>
    <t>602-658-8508</t>
  </si>
  <si>
    <t>12-3293</t>
  </si>
  <si>
    <t>JULIET</t>
  </si>
  <si>
    <t>SAVOIE</t>
  </si>
  <si>
    <t>2973 Carolyns Circle</t>
  </si>
  <si>
    <t>Plano</t>
  </si>
  <si>
    <t>JulietDSavoie@gmail.com</t>
  </si>
  <si>
    <t>214-758-3149</t>
  </si>
  <si>
    <t>88-016</t>
  </si>
  <si>
    <t>KENDRA</t>
  </si>
  <si>
    <t>HUFF</t>
  </si>
  <si>
    <t>4238 Nash Street</t>
  </si>
  <si>
    <t>KendraDHuff@aol.com</t>
  </si>
  <si>
    <t>313-244-2334</t>
  </si>
  <si>
    <t>06-292</t>
  </si>
  <si>
    <t>BETTY</t>
  </si>
  <si>
    <t>MORGAN</t>
  </si>
  <si>
    <t>92 Kerry Way</t>
  </si>
  <si>
    <t>Pico Rivera</t>
  </si>
  <si>
    <t>BettyMMorgan@hotmail.com</t>
  </si>
  <si>
    <t>562-801-5030</t>
  </si>
  <si>
    <t>56-3068</t>
  </si>
  <si>
    <t>CARTER</t>
  </si>
  <si>
    <t>254 Gregory Lane</t>
  </si>
  <si>
    <t>Louisville</t>
  </si>
  <si>
    <t>DianeHCarter@gmail.com</t>
  </si>
  <si>
    <t>502-482-5966</t>
  </si>
  <si>
    <t>18-5660</t>
  </si>
  <si>
    <t>JOHNIE</t>
  </si>
  <si>
    <t>HALL</t>
  </si>
  <si>
    <t>1057 Oakridge Farm Lane</t>
  </si>
  <si>
    <t>JohnieTHall@hotmail.com</t>
  </si>
  <si>
    <t>262-298-6085</t>
  </si>
  <si>
    <t>92-8078</t>
  </si>
  <si>
    <t>STAINBROOK</t>
  </si>
  <si>
    <t>3807 Keyser Ridge Road</t>
  </si>
  <si>
    <t>MildredJStainbrook@hotmail.com</t>
  </si>
  <si>
    <t>336-458-1243</t>
  </si>
  <si>
    <t>07-057</t>
  </si>
  <si>
    <t>ROSENBLUM</t>
  </si>
  <si>
    <t>1227 Red Bud Lane</t>
  </si>
  <si>
    <t>Teterboro</t>
  </si>
  <si>
    <t>RonaldKRosenblum@aol.com</t>
  </si>
  <si>
    <t>862-223-2412</t>
  </si>
  <si>
    <t>32-259</t>
  </si>
  <si>
    <t>MONICA</t>
  </si>
  <si>
    <t>FAULKNER</t>
  </si>
  <si>
    <t>4170 Wilmar Farm Road</t>
  </si>
  <si>
    <t>MonicaDFaulkner@aol.com</t>
  </si>
  <si>
    <t>240-358-7903</t>
  </si>
  <si>
    <t>52-318</t>
  </si>
  <si>
    <t>CLAYTON</t>
  </si>
  <si>
    <t>OLIVO</t>
  </si>
  <si>
    <t>2503 Rafe Lane</t>
  </si>
  <si>
    <t>ClaytonTOlivo@aol.com</t>
  </si>
  <si>
    <t>662-654-6800</t>
  </si>
  <si>
    <t>05-485</t>
  </si>
  <si>
    <t>OLIVERA</t>
  </si>
  <si>
    <t>950 Brownton Road</t>
  </si>
  <si>
    <t>MatthewBOlivera@aol.com</t>
  </si>
  <si>
    <t>662-364-1041</t>
  </si>
  <si>
    <t>18-4493</t>
  </si>
  <si>
    <t>JUAN</t>
  </si>
  <si>
    <t>PARISI</t>
  </si>
  <si>
    <t>2356 Fairway Drive</t>
  </si>
  <si>
    <t>Vacaville</t>
  </si>
  <si>
    <t>JuanMParisi@hotmail.com</t>
  </si>
  <si>
    <t>707-451-5021</t>
  </si>
  <si>
    <t>49-4081</t>
  </si>
  <si>
    <t>CECILIA</t>
  </si>
  <si>
    <t>WATTS</t>
  </si>
  <si>
    <t>2349 Roosevelt Road</t>
  </si>
  <si>
    <t>Mcpherson</t>
  </si>
  <si>
    <t>CeciliaMWatts@hotmail.com</t>
  </si>
  <si>
    <t>620-242-3192</t>
  </si>
  <si>
    <t>04-120</t>
  </si>
  <si>
    <t>DENNIS</t>
  </si>
  <si>
    <t>1280 Massachusetts Avenue</t>
  </si>
  <si>
    <t>DennisMWright@aol.com</t>
  </si>
  <si>
    <t>202-812-2226</t>
  </si>
  <si>
    <t>13-457</t>
  </si>
  <si>
    <t>404 Reppert Coal Road</t>
  </si>
  <si>
    <t>MonteSSmith@gmail.com</t>
  </si>
  <si>
    <t>586-912-1768</t>
  </si>
  <si>
    <t>56-1706</t>
  </si>
  <si>
    <t>HURST</t>
  </si>
  <si>
    <t>594 Red Hawk Road</t>
  </si>
  <si>
    <t>Orlando</t>
  </si>
  <si>
    <t>GloriaJHurst@hotmail.com</t>
  </si>
  <si>
    <t>321-204-3633</t>
  </si>
  <si>
    <t>94-3049</t>
  </si>
  <si>
    <t>1357 Mulberry Street</t>
  </si>
  <si>
    <t>JoanTWilliams@hotmail.com</t>
  </si>
  <si>
    <t>936-629-0267</t>
  </si>
  <si>
    <t>25-8374</t>
  </si>
  <si>
    <t>ALTON</t>
  </si>
  <si>
    <t>2977 Grey Fox Farm Road</t>
  </si>
  <si>
    <t>AltonJHarris@aol.com</t>
  </si>
  <si>
    <t>281-792-2244</t>
  </si>
  <si>
    <t>98-381</t>
  </si>
  <si>
    <t>HAZEL</t>
  </si>
  <si>
    <t>GLEASON</t>
  </si>
  <si>
    <t>1064 Skips Lane</t>
  </si>
  <si>
    <t>Tempe</t>
  </si>
  <si>
    <t>HazelJGleason@gmail.com</t>
  </si>
  <si>
    <t>928-550-9235</t>
  </si>
  <si>
    <t>22-2976</t>
  </si>
  <si>
    <t>THAMES</t>
  </si>
  <si>
    <t>1883 Oakwood Avenue</t>
  </si>
  <si>
    <t>ChristopherRThames@hotmail.com</t>
  </si>
  <si>
    <t>212-646-6179</t>
  </si>
  <si>
    <t>54-393</t>
  </si>
  <si>
    <t>CARL</t>
  </si>
  <si>
    <t>2972 Longview Avenue</t>
  </si>
  <si>
    <t>Staten Island</t>
  </si>
  <si>
    <t>CarlCGreen@gmail.com</t>
  </si>
  <si>
    <t>718-556-0176</t>
  </si>
  <si>
    <t>30-694</t>
  </si>
  <si>
    <t>HANS</t>
  </si>
  <si>
    <t>MCDANIEL</t>
  </si>
  <si>
    <t>3456 Pine Garden Lane</t>
  </si>
  <si>
    <t>Atlanta</t>
  </si>
  <si>
    <t>HansJMcDaniel@aol.com</t>
  </si>
  <si>
    <t>770-681-2104</t>
  </si>
  <si>
    <t>28-9896</t>
  </si>
  <si>
    <t>IRA</t>
  </si>
  <si>
    <t>KOCHER</t>
  </si>
  <si>
    <t>1092 Allison Avenue</t>
  </si>
  <si>
    <t>Chesapeake</t>
  </si>
  <si>
    <t>IraSKocher@gmail.com</t>
  </si>
  <si>
    <t>757-645-6505</t>
  </si>
  <si>
    <t>65-457</t>
  </si>
  <si>
    <t>CORY</t>
  </si>
  <si>
    <t>1241 Terry Lane</t>
  </si>
  <si>
    <t>Titusville</t>
  </si>
  <si>
    <t>CoryKJackson@aol.com</t>
  </si>
  <si>
    <t>321-268-3967</t>
  </si>
  <si>
    <t>01-5103</t>
  </si>
  <si>
    <t>CEDRIC</t>
  </si>
  <si>
    <t>3377 Clarksburg Park Road</t>
  </si>
  <si>
    <t>Tuba City</t>
  </si>
  <si>
    <t>CedricEBarnes@hotmail.com</t>
  </si>
  <si>
    <t>928-283-4581</t>
  </si>
  <si>
    <t>14-3867</t>
  </si>
  <si>
    <t>EVANS</t>
  </si>
  <si>
    <t>3205 Lucy Lane</t>
  </si>
  <si>
    <t>Evansville</t>
  </si>
  <si>
    <t>GeorgeMEvans@gmail.com</t>
  </si>
  <si>
    <t>812-464-4262</t>
  </si>
  <si>
    <t>36-190</t>
  </si>
  <si>
    <t>LEE</t>
  </si>
  <si>
    <t>MCMEANS</t>
  </si>
  <si>
    <t>4833 Jerome Avenue</t>
  </si>
  <si>
    <t>LeeCMcMeans@gmail.com</t>
  </si>
  <si>
    <t>956-223-1990</t>
  </si>
  <si>
    <t>90-2259</t>
  </si>
  <si>
    <t>AMY</t>
  </si>
  <si>
    <t>RANGEL</t>
  </si>
  <si>
    <t>950 Pallet Street</t>
  </si>
  <si>
    <t>AmySRangel@aol.com</t>
  </si>
  <si>
    <t>914-325-9356</t>
  </si>
  <si>
    <t>80-3249</t>
  </si>
  <si>
    <t>NAOMI</t>
  </si>
  <si>
    <t>MARSHALL</t>
  </si>
  <si>
    <t>3957 Sycamore Circle</t>
  </si>
  <si>
    <t>NaomiRMarshall@hotmail.com</t>
  </si>
  <si>
    <t>682-558-0129</t>
  </si>
  <si>
    <t>14-4460</t>
  </si>
  <si>
    <t>NANCY</t>
  </si>
  <si>
    <t>MORRIS</t>
  </si>
  <si>
    <t>2631 Emeral Dreams Drive</t>
  </si>
  <si>
    <t>Rockford</t>
  </si>
  <si>
    <t>NancyKMorris@aol.com</t>
  </si>
  <si>
    <t>815-242-9508</t>
  </si>
  <si>
    <t>76-619</t>
  </si>
  <si>
    <t>KUHLMAN</t>
  </si>
  <si>
    <t>4493 Middleville Road</t>
  </si>
  <si>
    <t>La Puente</t>
  </si>
  <si>
    <t>RandyFKuhlman@hotmail.com</t>
  </si>
  <si>
    <t>626-369-7009</t>
  </si>
  <si>
    <t>60-080</t>
  </si>
  <si>
    <t>ROUSH</t>
  </si>
  <si>
    <t>2639 Dovetail Estates</t>
  </si>
  <si>
    <t>Lawton</t>
  </si>
  <si>
    <t>HelenDRoush@aol.com</t>
  </si>
  <si>
    <t>580-917-4142</t>
  </si>
  <si>
    <t>62-0806</t>
  </si>
  <si>
    <t>WOOD</t>
  </si>
  <si>
    <t>2776 Patterson Fork Road</t>
  </si>
  <si>
    <t>Elmhurst</t>
  </si>
  <si>
    <t>MichaelJWood@gmail.com</t>
  </si>
  <si>
    <t>312-656-9476</t>
  </si>
  <si>
    <t>22-299</t>
  </si>
  <si>
    <t>JAHNKE</t>
  </si>
  <si>
    <t>1608 Davis Lane</t>
  </si>
  <si>
    <t>Greenwood Village</t>
  </si>
  <si>
    <t>JenniferMJahnke@gmail.com</t>
  </si>
  <si>
    <t>720-330-2061</t>
  </si>
  <si>
    <t>28-7080</t>
  </si>
  <si>
    <t>TERRI</t>
  </si>
  <si>
    <t>OGRADY</t>
  </si>
  <si>
    <t>2966 Meadow View Drive</t>
  </si>
  <si>
    <t>Hartford</t>
  </si>
  <si>
    <t>TerriLOgrady@hotmail.com</t>
  </si>
  <si>
    <t>860-473-6593</t>
  </si>
  <si>
    <t>08-8630</t>
  </si>
  <si>
    <t>TALBOT</t>
  </si>
  <si>
    <t>414 Crestview Manor</t>
  </si>
  <si>
    <t>Indianapolis</t>
  </si>
  <si>
    <t>CharlesLTalbot@aol.com</t>
  </si>
  <si>
    <t>317-239-9935</t>
  </si>
  <si>
    <t>66-508</t>
  </si>
  <si>
    <t>KELLIHER</t>
  </si>
  <si>
    <t>4185 Spring Haven Trail</t>
  </si>
  <si>
    <t>Rochelle Park</t>
  </si>
  <si>
    <t>ChristineWKelliher@aol.com</t>
  </si>
  <si>
    <t>973-727-8214</t>
  </si>
  <si>
    <t>40-7729</t>
  </si>
  <si>
    <t>SEBASTIAN</t>
  </si>
  <si>
    <t>4546 Cherry Camp Road</t>
  </si>
  <si>
    <t>SebastianETaylor@hotmail.com</t>
  </si>
  <si>
    <t>773-521-9276</t>
  </si>
  <si>
    <t>20-5708</t>
  </si>
  <si>
    <t>SUSIE</t>
  </si>
  <si>
    <t>ROBBINS</t>
  </si>
  <si>
    <t>299 Brooklyn Street</t>
  </si>
  <si>
    <t>Eugene</t>
  </si>
  <si>
    <t>SusieDRobbins@hotmail.com</t>
  </si>
  <si>
    <t>541-236-2926</t>
  </si>
  <si>
    <t>62-9371</t>
  </si>
  <si>
    <t>CHAMPAGNE</t>
  </si>
  <si>
    <t>1875 Renwick Drive</t>
  </si>
  <si>
    <t>MaryHChampagne@gmail.com</t>
  </si>
  <si>
    <t>484-253-4348</t>
  </si>
  <si>
    <t>78-0069</t>
  </si>
  <si>
    <t>703 Tyler Avenue</t>
  </si>
  <si>
    <t>KatrinaCRamirez@aol.com</t>
  </si>
  <si>
    <t>305-275-4698</t>
  </si>
  <si>
    <t>27-492</t>
  </si>
  <si>
    <t>REBECCA</t>
  </si>
  <si>
    <t>LAMOREAUX</t>
  </si>
  <si>
    <t>249 Court Street</t>
  </si>
  <si>
    <t>Maryland Heights</t>
  </si>
  <si>
    <t>RebeccaMLamoreaux@gmail.com</t>
  </si>
  <si>
    <t>636-794-2632</t>
  </si>
  <si>
    <t>36-0156</t>
  </si>
  <si>
    <t>GLENN</t>
  </si>
  <si>
    <t>SHARP</t>
  </si>
  <si>
    <t>825 North Avenue</t>
  </si>
  <si>
    <t>Grand Island</t>
  </si>
  <si>
    <t>GlennLSharp@hotmail.com</t>
  </si>
  <si>
    <t>402-851-3045</t>
  </si>
  <si>
    <t>47-054</t>
  </si>
  <si>
    <t>DAREN</t>
  </si>
  <si>
    <t>JACOBS</t>
  </si>
  <si>
    <t>3276 Cook Hill Road</t>
  </si>
  <si>
    <t>Port Chester</t>
  </si>
  <si>
    <t>DarenLJacobs@aol.com</t>
  </si>
  <si>
    <t>203-531-9965</t>
  </si>
  <si>
    <t>30-399</t>
  </si>
  <si>
    <t>REBEKAH</t>
  </si>
  <si>
    <t>SPARLING</t>
  </si>
  <si>
    <t>4338 Dark Hollow Road</t>
  </si>
  <si>
    <t>RebekahRSparling@aol.com</t>
  </si>
  <si>
    <t>609-235-2740</t>
  </si>
  <si>
    <t>46-291</t>
  </si>
  <si>
    <t>IRENE</t>
  </si>
  <si>
    <t>3547 Morris Street</t>
  </si>
  <si>
    <t>Pleasanton</t>
  </si>
  <si>
    <t>IreneGGreen@gmail.com</t>
  </si>
  <si>
    <t>830-275-3683</t>
  </si>
  <si>
    <t>10-8920</t>
  </si>
  <si>
    <t>LYNN</t>
  </si>
  <si>
    <t>Y</t>
  </si>
  <si>
    <t>CASS</t>
  </si>
  <si>
    <t>3597 Perry Street</t>
  </si>
  <si>
    <t>Clio</t>
  </si>
  <si>
    <t>LynnYCass@gmail.com</t>
  </si>
  <si>
    <t>810-687-4690</t>
  </si>
  <si>
    <t>17-5025</t>
  </si>
  <si>
    <t>ROJAS</t>
  </si>
  <si>
    <t>349 Confederate Drive</t>
  </si>
  <si>
    <t>SueJRojas@hotmail.com</t>
  </si>
  <si>
    <t>315-703-0136</t>
  </si>
  <si>
    <t>76-872</t>
  </si>
  <si>
    <t>EULALIA</t>
  </si>
  <si>
    <t>653 Cabell Avenue</t>
  </si>
  <si>
    <t>EulaliaRMiller@aol.com</t>
  </si>
  <si>
    <t>703-579-7053</t>
  </si>
  <si>
    <t>21-9778</t>
  </si>
  <si>
    <t>SANDRA</t>
  </si>
  <si>
    <t>SPINKS</t>
  </si>
  <si>
    <t>4444 James Street</t>
  </si>
  <si>
    <t>Corfu</t>
  </si>
  <si>
    <t>SandraASpinks@hotmail.com</t>
  </si>
  <si>
    <t>585-599-9996</t>
  </si>
  <si>
    <t>48-4585</t>
  </si>
  <si>
    <t>MIRANDA</t>
  </si>
  <si>
    <t>242 Edwards Street</t>
  </si>
  <si>
    <t>MirandaVJohnson@hotmail.com</t>
  </si>
  <si>
    <t>252-796-7464</t>
  </si>
  <si>
    <t>88-5813</t>
  </si>
  <si>
    <t>EILAND</t>
  </si>
  <si>
    <t>2540 Masonic Hill Road</t>
  </si>
  <si>
    <t>Little Rock</t>
  </si>
  <si>
    <t>RobertKEiland@gmail.com</t>
  </si>
  <si>
    <t>501-615-9324</t>
  </si>
  <si>
    <t>05-746</t>
  </si>
  <si>
    <t>CATHERINE</t>
  </si>
  <si>
    <t>SAPPINGTON</t>
  </si>
  <si>
    <t>131 Juniper Drive</t>
  </si>
  <si>
    <t>Bay City</t>
  </si>
  <si>
    <t>CatherineJSappington@hotmail.com</t>
  </si>
  <si>
    <t>989-894-4769</t>
  </si>
  <si>
    <t>20-191</t>
  </si>
  <si>
    <t>BRIANNA</t>
  </si>
  <si>
    <t>HIGGINS</t>
  </si>
  <si>
    <t>4887 Post Avenue</t>
  </si>
  <si>
    <t>BriannaDHiggins@hotmail.com</t>
  </si>
  <si>
    <t>219-308-7382</t>
  </si>
  <si>
    <t>94-418</t>
  </si>
  <si>
    <t>LUIS</t>
  </si>
  <si>
    <t>STOKES</t>
  </si>
  <si>
    <t>4284 West Drive</t>
  </si>
  <si>
    <t>LuisKStokes@aol.com</t>
  </si>
  <si>
    <t>312-432-5580</t>
  </si>
  <si>
    <t>92-6259</t>
  </si>
  <si>
    <t>RUSS</t>
  </si>
  <si>
    <t>MORRISON</t>
  </si>
  <si>
    <t>3892 Hanover Street</t>
  </si>
  <si>
    <t>RussGMorrison@aol.com</t>
  </si>
  <si>
    <t>917-678-5295</t>
  </si>
  <si>
    <t>22-3879</t>
  </si>
  <si>
    <t>CARLOTTA</t>
  </si>
  <si>
    <t>CHAMBERLAIN</t>
  </si>
  <si>
    <t>89 Beechwood Drive</t>
  </si>
  <si>
    <t>CarlottaCChamberlain@hotmail.com</t>
  </si>
  <si>
    <t>412-216-9115</t>
  </si>
  <si>
    <t>66-9804</t>
  </si>
  <si>
    <t>STANLEY</t>
  </si>
  <si>
    <t>VINSON</t>
  </si>
  <si>
    <t>2548 Sarah Drive</t>
  </si>
  <si>
    <t>StanleyAVinson@aol.com</t>
  </si>
  <si>
    <t>337-505-6275</t>
  </si>
  <si>
    <t>01-379</t>
  </si>
  <si>
    <t>VERN</t>
  </si>
  <si>
    <t>RIPPLE</t>
  </si>
  <si>
    <t>4135 Hickory Ridge Drive</t>
  </si>
  <si>
    <t>VernGRipple@gmail.com</t>
  </si>
  <si>
    <t>702-681-1168</t>
  </si>
  <si>
    <t>62-384</t>
  </si>
  <si>
    <t>KATHLEEN</t>
  </si>
  <si>
    <t>4692 Tipple Road</t>
  </si>
  <si>
    <t>KathleenHWalters@aol.com</t>
  </si>
  <si>
    <t>215-751-3031</t>
  </si>
  <si>
    <t>60-9840</t>
  </si>
  <si>
    <t>BUSHMAN</t>
  </si>
  <si>
    <t>2346 Spadafore Drive</t>
  </si>
  <si>
    <t>Glasgow</t>
  </si>
  <si>
    <t>RobertCBushman@gmail.com</t>
  </si>
  <si>
    <t>814-687-8961</t>
  </si>
  <si>
    <t>26-4703</t>
  </si>
  <si>
    <t>ANDREA</t>
  </si>
  <si>
    <t>GOODE</t>
  </si>
  <si>
    <t>4928 Hurry Street</t>
  </si>
  <si>
    <t>Fredericksburg</t>
  </si>
  <si>
    <t>AndreaKGoode@aol.com</t>
  </si>
  <si>
    <t>540-368-4413</t>
  </si>
  <si>
    <t>01-270</t>
  </si>
  <si>
    <t>JENNIE</t>
  </si>
  <si>
    <t>TELLEZ</t>
  </si>
  <si>
    <t>4465 Brannon Avenue</t>
  </si>
  <si>
    <t>St Augustine</t>
  </si>
  <si>
    <t>JennieSTellez@aol.com</t>
  </si>
  <si>
    <t>904-824-8057</t>
  </si>
  <si>
    <t>20-2143</t>
  </si>
  <si>
    <t>3445 Stadium Drive</t>
  </si>
  <si>
    <t>Westborough</t>
  </si>
  <si>
    <t>JamesCFord@gmail.com</t>
  </si>
  <si>
    <t>508-254-4835</t>
  </si>
  <si>
    <t>14-574</t>
  </si>
  <si>
    <t>GARETT</t>
  </si>
  <si>
    <t>3615 Kelly Drive</t>
  </si>
  <si>
    <t>Glen Daniel</t>
  </si>
  <si>
    <t>GraceBGarett@gmail.com</t>
  </si>
  <si>
    <t>304-934-4291</t>
  </si>
  <si>
    <t>01-5879</t>
  </si>
  <si>
    <t>AMELIA</t>
  </si>
  <si>
    <t>1004 Parkway Street</t>
  </si>
  <si>
    <t>Barstow</t>
  </si>
  <si>
    <t>AmeliaDRamirez@gmail.com</t>
  </si>
  <si>
    <t>760-252-2755</t>
  </si>
  <si>
    <t>67-873</t>
  </si>
  <si>
    <t>CRYSTAL</t>
  </si>
  <si>
    <t>1058 Bryan Avenue</t>
  </si>
  <si>
    <t>Saint Paul</t>
  </si>
  <si>
    <t>CrystalWHansen@aol.com</t>
  </si>
  <si>
    <t>651-310-5786</t>
  </si>
  <si>
    <t>30-1534</t>
  </si>
  <si>
    <t>PARR</t>
  </si>
  <si>
    <t>775 Stonecoal Road</t>
  </si>
  <si>
    <t>Toledo</t>
  </si>
  <si>
    <t>ThelmaBParr@aol.com</t>
  </si>
  <si>
    <t>419-534-0285</t>
  </si>
  <si>
    <t>28-868</t>
  </si>
  <si>
    <t>DONNY</t>
  </si>
  <si>
    <t>CLEMENS</t>
  </si>
  <si>
    <t>147 Trymore Road</t>
  </si>
  <si>
    <t>Dakota</t>
  </si>
  <si>
    <t>DonnyMClemens@aol.com</t>
  </si>
  <si>
    <t>507-643-6453</t>
  </si>
  <si>
    <t>08-8161</t>
  </si>
  <si>
    <t>KIMBERLY</t>
  </si>
  <si>
    <t>WARNER</t>
  </si>
  <si>
    <t>468 Sand Fork Road</t>
  </si>
  <si>
    <t>Culver</t>
  </si>
  <si>
    <t>KimberlyGWarner@gmail.com</t>
  </si>
  <si>
    <t>574-842-3766</t>
  </si>
  <si>
    <t>10-2516</t>
  </si>
  <si>
    <t>MIDDLETON</t>
  </si>
  <si>
    <t>3692 Hog Camp Road</t>
  </si>
  <si>
    <t>Burr Ridge</t>
  </si>
  <si>
    <t>DavidLMiddleton@gmail.com</t>
  </si>
  <si>
    <t>708-440-1717</t>
  </si>
  <si>
    <t>48-4032</t>
  </si>
  <si>
    <t>1671 Angie Drive</t>
  </si>
  <si>
    <t>Burbank</t>
  </si>
  <si>
    <t>RobertJMartin@gmail.com</t>
  </si>
  <si>
    <t>714-932-0522</t>
  </si>
  <si>
    <t>20-6165</t>
  </si>
  <si>
    <t>GIL</t>
  </si>
  <si>
    <t>3542 Saint Marys Avenue</t>
  </si>
  <si>
    <t>AnitaJGil@aol.com</t>
  </si>
  <si>
    <t>315-856-9029</t>
  </si>
  <si>
    <t>92-6875</t>
  </si>
  <si>
    <t>KENNEY</t>
  </si>
  <si>
    <t>1364 Rainy Day Drive</t>
  </si>
  <si>
    <t>Brookline</t>
  </si>
  <si>
    <t>EduardoTKenney@gmail.com</t>
  </si>
  <si>
    <t>617-975-4477</t>
  </si>
  <si>
    <t>48-902</t>
  </si>
  <si>
    <t>TIMOTHY</t>
  </si>
  <si>
    <t>OSORIO</t>
  </si>
  <si>
    <t>1366 Allison Avenue</t>
  </si>
  <si>
    <t>Newport News</t>
  </si>
  <si>
    <t>TimothyTOsorio@gmail.com</t>
  </si>
  <si>
    <t>757-575-7593</t>
  </si>
  <si>
    <t>83-568</t>
  </si>
  <si>
    <t>ROSE</t>
  </si>
  <si>
    <t>SAENZ</t>
  </si>
  <si>
    <t>3620 Joes Road</t>
  </si>
  <si>
    <t>RoseDSaenz@aol.com</t>
  </si>
  <si>
    <t>518-752-8401</t>
  </si>
  <si>
    <t>54-1221</t>
  </si>
  <si>
    <t>POLK</t>
  </si>
  <si>
    <t>508 Wexford Way</t>
  </si>
  <si>
    <t>Lancaster</t>
  </si>
  <si>
    <t>ChristopherBPolk@gmail.com</t>
  </si>
  <si>
    <t>803-273-3808</t>
  </si>
  <si>
    <t>08-877</t>
  </si>
  <si>
    <t>ALVIN</t>
  </si>
  <si>
    <t>PRUETT</t>
  </si>
  <si>
    <t>4360 Richison Drive</t>
  </si>
  <si>
    <t>Townsend</t>
  </si>
  <si>
    <t>AlvinSPruett@hotmail.com</t>
  </si>
  <si>
    <t>406-266-4315</t>
  </si>
  <si>
    <t>03-492</t>
  </si>
  <si>
    <t>1425 Golden Street</t>
  </si>
  <si>
    <t>Doral</t>
  </si>
  <si>
    <t>MichaelSHughes@gmail.com</t>
  </si>
  <si>
    <t>305-697-3467</t>
  </si>
  <si>
    <t>53-5346</t>
  </si>
  <si>
    <t>KIM</t>
  </si>
  <si>
    <t>220 Bingamon Branch Road</t>
  </si>
  <si>
    <t>DarrylMKim@hotmail.com</t>
  </si>
  <si>
    <t>847-225-1558</t>
  </si>
  <si>
    <t>03-5101</t>
  </si>
  <si>
    <t>LEFEBRE</t>
  </si>
  <si>
    <t>979 Columbia Road</t>
  </si>
  <si>
    <t>LeeJLefebre@aol.com</t>
  </si>
  <si>
    <t>302-930-4106</t>
  </si>
  <si>
    <t>07-867</t>
  </si>
  <si>
    <t>LATRICIA</t>
  </si>
  <si>
    <t>COX</t>
  </si>
  <si>
    <t>95 Southern Street</t>
  </si>
  <si>
    <t>LatriciaDCox@aol.com</t>
  </si>
  <si>
    <t>516-620-5799</t>
  </si>
  <si>
    <t>34-254</t>
  </si>
  <si>
    <t>HARDING</t>
  </si>
  <si>
    <t>2699 Bingamon Branch Road</t>
  </si>
  <si>
    <t>Wilmette</t>
  </si>
  <si>
    <t>DavidMHarding@hotmail.com</t>
  </si>
  <si>
    <t>847-256-4606</t>
  </si>
  <si>
    <t>94-4218</t>
  </si>
  <si>
    <t>LOVETT</t>
  </si>
  <si>
    <t>438 Wilson Avenue</t>
  </si>
  <si>
    <t>Rowlett</t>
  </si>
  <si>
    <t>PatrickJLovett@gmail.com</t>
  </si>
  <si>
    <t>972-463-1136</t>
  </si>
  <si>
    <t>41-958</t>
  </si>
  <si>
    <t>2966 Doe Meadow Drive</t>
  </si>
  <si>
    <t>Bethesda</t>
  </si>
  <si>
    <t>FrankPClark@aol.com</t>
  </si>
  <si>
    <t>301-564-7600</t>
  </si>
  <si>
    <t>54-5543</t>
  </si>
  <si>
    <t>1696 Thomas Street</t>
  </si>
  <si>
    <t>Wood Dale</t>
  </si>
  <si>
    <t>ChesterSSmith@aol.com</t>
  </si>
  <si>
    <t>847-481-7950</t>
  </si>
  <si>
    <t>36-892</t>
  </si>
  <si>
    <t>PARK</t>
  </si>
  <si>
    <t>3429 School Street</t>
  </si>
  <si>
    <t>New Haven</t>
  </si>
  <si>
    <t>WilliamJPark@aol.com</t>
  </si>
  <si>
    <t>203-764-5301</t>
  </si>
  <si>
    <t>12-225</t>
  </si>
  <si>
    <t>ANDREW</t>
  </si>
  <si>
    <t>HUNTER</t>
  </si>
  <si>
    <t>4114 Godfrey Road</t>
  </si>
  <si>
    <t>AndrewHHunter@aol.com</t>
  </si>
  <si>
    <t>212-496-4350</t>
  </si>
  <si>
    <t>60-1865</t>
  </si>
  <si>
    <t>RICKY</t>
  </si>
  <si>
    <t>SHIELDS</t>
  </si>
  <si>
    <t>4461 Liberty Avenue</t>
  </si>
  <si>
    <t>RickyBShields@gmail.com</t>
  </si>
  <si>
    <t>714-431-2249</t>
  </si>
  <si>
    <t>84-1306</t>
  </si>
  <si>
    <t>WELLS</t>
  </si>
  <si>
    <t>1364 Duffy Street</t>
  </si>
  <si>
    <t>Laporte</t>
  </si>
  <si>
    <t>BobbyMWells@gmail.com</t>
  </si>
  <si>
    <t>219-851-2179</t>
  </si>
  <si>
    <t>48-663</t>
  </si>
  <si>
    <t>ADAM</t>
  </si>
  <si>
    <t>4626 Oxford Court</t>
  </si>
  <si>
    <t>Grenada</t>
  </si>
  <si>
    <t>AdamVWhite@gmail.com</t>
  </si>
  <si>
    <t>662-229-2018</t>
  </si>
  <si>
    <t>45-309</t>
  </si>
  <si>
    <t>HUBBARD</t>
  </si>
  <si>
    <t>1846 Wayback Lane</t>
  </si>
  <si>
    <t>MarshallJHubbard@aol.com</t>
  </si>
  <si>
    <t>631-433-2627</t>
  </si>
  <si>
    <t>38-208</t>
  </si>
  <si>
    <t>671 Ross Street</t>
  </si>
  <si>
    <t>Metropolis</t>
  </si>
  <si>
    <t>JamesJPerry@aol.com</t>
  </si>
  <si>
    <t>618-280-2545</t>
  </si>
  <si>
    <t>66-637</t>
  </si>
  <si>
    <t>PAULINE</t>
  </si>
  <si>
    <t>FISHER</t>
  </si>
  <si>
    <t>2642 Snowbird Lane</t>
  </si>
  <si>
    <t>Battle Creek</t>
  </si>
  <si>
    <t>PaulineRFisher@aol.com</t>
  </si>
  <si>
    <t>402-675-2093</t>
  </si>
  <si>
    <t>54-633</t>
  </si>
  <si>
    <t>WILSON</t>
  </si>
  <si>
    <t>3742 Kenwood Place</t>
  </si>
  <si>
    <t>DavidJWilson@aol.com</t>
  </si>
  <si>
    <t>954-538-7145</t>
  </si>
  <si>
    <t>43-4363</t>
  </si>
  <si>
    <t>HINES</t>
  </si>
  <si>
    <t>2312 Marion Drive</t>
  </si>
  <si>
    <t>KimWHines@aol.com</t>
  </si>
  <si>
    <t>813-435-8079</t>
  </si>
  <si>
    <t>16-036</t>
  </si>
  <si>
    <t>LOUISE</t>
  </si>
  <si>
    <t>BENNER</t>
  </si>
  <si>
    <t>2872 Sarah Drive</t>
  </si>
  <si>
    <t>LouiseEBenner@hotmail.com</t>
  </si>
  <si>
    <t>337-430-3692</t>
  </si>
  <si>
    <t>05-9915</t>
  </si>
  <si>
    <t>GARRY</t>
  </si>
  <si>
    <t>PANNELL</t>
  </si>
  <si>
    <t>1757 Upland Avenue</t>
  </si>
  <si>
    <t>Lima</t>
  </si>
  <si>
    <t>GarryJPannell@aol.com</t>
  </si>
  <si>
    <t>419-860-5124</t>
  </si>
  <si>
    <t>16-1094</t>
  </si>
  <si>
    <t>4352 Russell Street</t>
  </si>
  <si>
    <t>WilliamRKim@aol.com</t>
  </si>
  <si>
    <t>978-965-4662</t>
  </si>
  <si>
    <t>84-853</t>
  </si>
  <si>
    <t>JOYCE</t>
  </si>
  <si>
    <t>MILLARD</t>
  </si>
  <si>
    <t>4105 Frederick Street</t>
  </si>
  <si>
    <t>JoyceMMillard@aol.com</t>
  </si>
  <si>
    <t>916-276-4694</t>
  </si>
  <si>
    <t>94-998</t>
  </si>
  <si>
    <t>VALENTINE</t>
  </si>
  <si>
    <t>2064 Marie Street</t>
  </si>
  <si>
    <t>Reisterstown</t>
  </si>
  <si>
    <t>SusanSValentine@gmail.com</t>
  </si>
  <si>
    <t>410-861-1596</t>
  </si>
  <si>
    <t>84-8580</t>
  </si>
  <si>
    <t>283 Hickory Ridge Drive</t>
  </si>
  <si>
    <t>CharlesMRoberts@hotmail.com</t>
  </si>
  <si>
    <t>702-691-7861</t>
  </si>
  <si>
    <t>51-906</t>
  </si>
  <si>
    <t>CARLOS</t>
  </si>
  <si>
    <t>NA</t>
  </si>
  <si>
    <t>2290 Khale Street</t>
  </si>
  <si>
    <t>Murrells Inlet</t>
  </si>
  <si>
    <t>CarlosMNa@gmail.com</t>
  </si>
  <si>
    <t>843-652-1588</t>
  </si>
  <si>
    <t>49-301</t>
  </si>
  <si>
    <t>2374 Luke Lane</t>
  </si>
  <si>
    <t>TheresaJCraig@hotmail.com</t>
  </si>
  <si>
    <t>580-284-2663</t>
  </si>
  <si>
    <t>02-679</t>
  </si>
  <si>
    <t>CURTIS</t>
  </si>
  <si>
    <t>3750 Simpson Square</t>
  </si>
  <si>
    <t>PaulLCurtis@aol.com</t>
  </si>
  <si>
    <t>580-565-5337</t>
  </si>
  <si>
    <t>96-1971</t>
  </si>
  <si>
    <t>HENRY</t>
  </si>
  <si>
    <t>ROSENBAUM</t>
  </si>
  <si>
    <t>586 Caynor Circle</t>
  </si>
  <si>
    <t>Linden</t>
  </si>
  <si>
    <t>HenryCRosenbaum@gmail.com</t>
  </si>
  <si>
    <t>908-474-4556</t>
  </si>
  <si>
    <t>48-0389</t>
  </si>
  <si>
    <t>BROCK</t>
  </si>
  <si>
    <t>3374 Finwood Road</t>
  </si>
  <si>
    <t>RobertRBrock@gmail.com</t>
  </si>
  <si>
    <t>732-480-7525</t>
  </si>
  <si>
    <t>30-8425</t>
  </si>
  <si>
    <t>JANICE</t>
  </si>
  <si>
    <t>KROUT</t>
  </si>
  <si>
    <t>4966 Highland View Drive</t>
  </si>
  <si>
    <t>Roseville</t>
  </si>
  <si>
    <t>JaniceNKrout@hotmail.com</t>
  </si>
  <si>
    <t>916-640-6029</t>
  </si>
  <si>
    <t>52-8535</t>
  </si>
  <si>
    <t>PEARSON</t>
  </si>
  <si>
    <t>4041 Pallet Street</t>
  </si>
  <si>
    <t>Monsey</t>
  </si>
  <si>
    <t>MaryAPearson@hotmail.com</t>
  </si>
  <si>
    <t>914-324-6344</t>
  </si>
  <si>
    <t>86-3624</t>
  </si>
  <si>
    <t>ATKINSON</t>
  </si>
  <si>
    <t>4723 Rhode Island Avenue</t>
  </si>
  <si>
    <t>JosephCAtkinson@aol.com</t>
  </si>
  <si>
    <t>202-420-6111</t>
  </si>
  <si>
    <t>72-839</t>
  </si>
  <si>
    <t>LINDSEY</t>
  </si>
  <si>
    <t>3675 Jones Street</t>
  </si>
  <si>
    <t>LindseyRMartinez@gmail.com</t>
  </si>
  <si>
    <t>817-489-0531</t>
  </si>
  <si>
    <t>22-8995</t>
  </si>
  <si>
    <t>TYLER</t>
  </si>
  <si>
    <t>DEJESUS</t>
  </si>
  <si>
    <t>4128 Boone Crockett Lane</t>
  </si>
  <si>
    <t>TylerADejesus@gmail.com</t>
  </si>
  <si>
    <t>360-481-3112</t>
  </si>
  <si>
    <t>90-7327</t>
  </si>
  <si>
    <t>MELODY</t>
  </si>
  <si>
    <t>757 Scenic Way</t>
  </si>
  <si>
    <t>Latham</t>
  </si>
  <si>
    <t>MelodyMNelson@hotmail.com</t>
  </si>
  <si>
    <t>217-674-4591</t>
  </si>
  <si>
    <t>22-8985</t>
  </si>
  <si>
    <t>MADDEN</t>
  </si>
  <si>
    <t>4731 Murphy Court</t>
  </si>
  <si>
    <t>PaulaWMadden@gmail.com</t>
  </si>
  <si>
    <t>951-801-7659</t>
  </si>
  <si>
    <t>64-856</t>
  </si>
  <si>
    <t>WEBER</t>
  </si>
  <si>
    <t>385 Ward Road</t>
  </si>
  <si>
    <t>RobertDWeber@gmail.com</t>
  </si>
  <si>
    <t>914-937-4898</t>
  </si>
  <si>
    <t>14-923</t>
  </si>
  <si>
    <t>MONROE</t>
  </si>
  <si>
    <t>3535 McKinley Avenue</t>
  </si>
  <si>
    <t>MarkLMonroe@gmail.com</t>
  </si>
  <si>
    <t>303-848-9860</t>
  </si>
  <si>
    <t>39-271</t>
  </si>
  <si>
    <t>3643 Hinkle Deegan Lake Road</t>
  </si>
  <si>
    <t>Binghamton</t>
  </si>
  <si>
    <t>RoseCGlenn@aol.com</t>
  </si>
  <si>
    <t>607-210-4364</t>
  </si>
  <si>
    <t>62-4358</t>
  </si>
  <si>
    <t>SIDNEY</t>
  </si>
  <si>
    <t>4292 Tanglewood Road</t>
  </si>
  <si>
    <t>Jackson</t>
  </si>
  <si>
    <t>SidneyRWilliams@gmail.com</t>
  </si>
  <si>
    <t>662-990-9028</t>
  </si>
  <si>
    <t>49-304</t>
  </si>
  <si>
    <t>LOHR</t>
  </si>
  <si>
    <t>3016 Garfield Road</t>
  </si>
  <si>
    <t>New Windsor</t>
  </si>
  <si>
    <t>ScottJLohr@hotmail.com</t>
  </si>
  <si>
    <t>309-667-9596</t>
  </si>
  <si>
    <t>02-588</t>
  </si>
  <si>
    <t>LATONYA</t>
  </si>
  <si>
    <t>TAGGART</t>
  </si>
  <si>
    <t>3904 Park Boulevard</t>
  </si>
  <si>
    <t>Drakesville</t>
  </si>
  <si>
    <t>LatonyaBTaggart@aol.com</t>
  </si>
  <si>
    <t>641-722-2778</t>
  </si>
  <si>
    <t>78-2018</t>
  </si>
  <si>
    <t>WENDLING</t>
  </si>
  <si>
    <t>2626 Charmaine Lane</t>
  </si>
  <si>
    <t>Perryton</t>
  </si>
  <si>
    <t>MichaelJWendling@aol.com</t>
  </si>
  <si>
    <t>806-434-1502</t>
  </si>
  <si>
    <t>56-809</t>
  </si>
  <si>
    <t>BRISTER</t>
  </si>
  <si>
    <t>232 Hickory Lane</t>
  </si>
  <si>
    <t>Fort Washington</t>
  </si>
  <si>
    <t>DanielMBrister@hotmail.com</t>
  </si>
  <si>
    <t>202-470-8024</t>
  </si>
  <si>
    <t>92-266</t>
  </si>
  <si>
    <t>HORNING</t>
  </si>
  <si>
    <t>1086 Blue Spruce Lane</t>
  </si>
  <si>
    <t>Hanover</t>
  </si>
  <si>
    <t>MichaelNHorning@hotmail.com</t>
  </si>
  <si>
    <t>410-302-4255</t>
  </si>
  <si>
    <t>69-143</t>
  </si>
  <si>
    <t>EDITH</t>
  </si>
  <si>
    <t>REED</t>
  </si>
  <si>
    <t>841 Romines Mill Road</t>
  </si>
  <si>
    <t>EdithJReed@hotmail.com</t>
  </si>
  <si>
    <t>214-617-9083</t>
  </si>
  <si>
    <t>34-3018</t>
  </si>
  <si>
    <t>4515 Illinois Avenue</t>
  </si>
  <si>
    <t>VictorAJohnson@hotmail.com</t>
  </si>
  <si>
    <t>503-713-0992</t>
  </si>
  <si>
    <t>31-990</t>
  </si>
  <si>
    <t>LYDIA</t>
  </si>
  <si>
    <t>AMOROSO</t>
  </si>
  <si>
    <t>3013 White Pine Lane</t>
  </si>
  <si>
    <t>LydiaHAmoroso@gmail.com</t>
  </si>
  <si>
    <t>540-653-0178</t>
  </si>
  <si>
    <t>03-7118</t>
  </si>
  <si>
    <t>ASHLEY</t>
  </si>
  <si>
    <t>2835 Aspen Court</t>
  </si>
  <si>
    <t>AshleyDJohnson@hotmail.com</t>
  </si>
  <si>
    <t>617-392-2943</t>
  </si>
  <si>
    <t>01-5060</t>
  </si>
  <si>
    <t>ESTHER</t>
  </si>
  <si>
    <t>LORD</t>
  </si>
  <si>
    <t>657 Williams Avenue</t>
  </si>
  <si>
    <t>Frazier Park</t>
  </si>
  <si>
    <t>EstherLLord@gmail.com</t>
  </si>
  <si>
    <t>661-245-5261</t>
  </si>
  <si>
    <t>55-035</t>
  </si>
  <si>
    <t>1484 White Pine Lane</t>
  </si>
  <si>
    <t>Harrisonburg</t>
  </si>
  <si>
    <t>AmeliaTLane@aol.com</t>
  </si>
  <si>
    <t>540-689-1022</t>
  </si>
  <si>
    <t>01-9086</t>
  </si>
  <si>
    <t>KEEL</t>
  </si>
  <si>
    <t>3245 Harry Place</t>
  </si>
  <si>
    <t>RussellRKeel@hotmail.com</t>
  </si>
  <si>
    <t>704-770-4875</t>
  </si>
  <si>
    <t>91-8716</t>
  </si>
  <si>
    <t>SPARKS</t>
  </si>
  <si>
    <t>1564 Bel Meadow Drive</t>
  </si>
  <si>
    <t>RobertSSparks@hotmail.com</t>
  </si>
  <si>
    <t>909-309-5979</t>
  </si>
  <si>
    <t>96-7918</t>
  </si>
  <si>
    <t>FLINN</t>
  </si>
  <si>
    <t>706 Shadowmar Drive</t>
  </si>
  <si>
    <t>Metairie</t>
  </si>
  <si>
    <t>AndreaDFlinn@gmail.com</t>
  </si>
  <si>
    <t>504-832-3602</t>
  </si>
  <si>
    <t>01-800</t>
  </si>
  <si>
    <t>LOWMAN</t>
  </si>
  <si>
    <t>4715 Southside Lane</t>
  </si>
  <si>
    <t>ThomasSLowman@hotmail.com</t>
  </si>
  <si>
    <t>323-691-2424</t>
  </si>
  <si>
    <t>58-5735</t>
  </si>
  <si>
    <t>MIKI</t>
  </si>
  <si>
    <t>GRIES</t>
  </si>
  <si>
    <t>3504 Calvin Street</t>
  </si>
  <si>
    <t>MikiCGries@gmail.com</t>
  </si>
  <si>
    <t>443-383-8083</t>
  </si>
  <si>
    <t>98-8008</t>
  </si>
  <si>
    <t>FRANCES</t>
  </si>
  <si>
    <t>3784 Turkey Pen Road</t>
  </si>
  <si>
    <t>FrancesCKing@gmail.com</t>
  </si>
  <si>
    <t>917-278-4105</t>
  </si>
  <si>
    <t>24-8912</t>
  </si>
  <si>
    <t>GILBERTO</t>
  </si>
  <si>
    <t>LAU</t>
  </si>
  <si>
    <t>3459 Lighthouse Drive</t>
  </si>
  <si>
    <t>Branson</t>
  </si>
  <si>
    <t>GilbertoSLau@gmail.com</t>
  </si>
  <si>
    <t>417-280-1772</t>
  </si>
  <si>
    <t>64-935</t>
  </si>
  <si>
    <t>627 Locust View Drive</t>
  </si>
  <si>
    <t>AndrewLAtkinson@gmail.com</t>
  </si>
  <si>
    <t>415-936-3184</t>
  </si>
  <si>
    <t>60-767</t>
  </si>
  <si>
    <t>JEFFREY</t>
  </si>
  <si>
    <t>DUGGINS</t>
  </si>
  <si>
    <t>3871 College Avenue</t>
  </si>
  <si>
    <t>JeffreyJDuggins@hotmail.com</t>
  </si>
  <si>
    <t>937-413-2916</t>
  </si>
  <si>
    <t>68-271</t>
  </si>
  <si>
    <t>OLIVIA</t>
  </si>
  <si>
    <t>MUNSON</t>
  </si>
  <si>
    <t>3196 Charla Lane</t>
  </si>
  <si>
    <t>OliviaLMunson@gmail.com</t>
  </si>
  <si>
    <t>972-774-2663</t>
  </si>
  <si>
    <t>55-188</t>
  </si>
  <si>
    <t>2091 August Lane</t>
  </si>
  <si>
    <t>Alexandria</t>
  </si>
  <si>
    <t>AmyKCarter@gmail.com</t>
  </si>
  <si>
    <t>318-463-7717</t>
  </si>
  <si>
    <t>10-210</t>
  </si>
  <si>
    <t>COLDWELL</t>
  </si>
  <si>
    <t>2385 Clinton Street</t>
  </si>
  <si>
    <t>Searcy</t>
  </si>
  <si>
    <t>DianeJColdwell@aol.com</t>
  </si>
  <si>
    <t>501-278-7551</t>
  </si>
  <si>
    <t>70-449</t>
  </si>
  <si>
    <t>HAYWOOD</t>
  </si>
  <si>
    <t>ALBRITTON</t>
  </si>
  <si>
    <t>1778 Kincheloe Road</t>
  </si>
  <si>
    <t>Milwaukie</t>
  </si>
  <si>
    <t>HaywoodMAlbritton@aol.com</t>
  </si>
  <si>
    <t>503-513-3931</t>
  </si>
  <si>
    <t>61-2978</t>
  </si>
  <si>
    <t>DEAN</t>
  </si>
  <si>
    <t>DAY</t>
  </si>
  <si>
    <t>1037 Randall Drive</t>
  </si>
  <si>
    <t>DeanCDay@aol.com</t>
  </si>
  <si>
    <t>808-782-9339</t>
  </si>
  <si>
    <t>67-197</t>
  </si>
  <si>
    <t>WALLACE</t>
  </si>
  <si>
    <t>662 Parrish Avenue</t>
  </si>
  <si>
    <t>SusanRWallace@gmail.com</t>
  </si>
  <si>
    <t>831-218-2456</t>
  </si>
  <si>
    <t>01-807</t>
  </si>
  <si>
    <t>BRAWNER</t>
  </si>
  <si>
    <t>481 Five Points</t>
  </si>
  <si>
    <t>AnthonyDBrawner@aol.com</t>
  </si>
  <si>
    <t>443-227-9750</t>
  </si>
  <si>
    <t>80-0885</t>
  </si>
  <si>
    <t>MORROW</t>
  </si>
  <si>
    <t>2702 Chatham Way</t>
  </si>
  <si>
    <t>Beltsville</t>
  </si>
  <si>
    <t>JesseSMorrow@hotmail.com</t>
  </si>
  <si>
    <t>240-643-5792</t>
  </si>
  <si>
    <t>60-597</t>
  </si>
  <si>
    <t>STACY</t>
  </si>
  <si>
    <t>PETERSEN</t>
  </si>
  <si>
    <t>1887 Oak Lane</t>
  </si>
  <si>
    <t>Kansas City</t>
  </si>
  <si>
    <t>StacySPetersen@gmail.com</t>
  </si>
  <si>
    <t>660-797-8359</t>
  </si>
  <si>
    <t>20-6141</t>
  </si>
  <si>
    <t>NORRIS</t>
  </si>
  <si>
    <t>2832 Lincoln Drive</t>
  </si>
  <si>
    <t>Harrisburg</t>
  </si>
  <si>
    <t>BrendaLNorris@gmail.com</t>
  </si>
  <si>
    <t>717-575-6752</t>
  </si>
  <si>
    <t>07-8580</t>
  </si>
  <si>
    <t>2180 Paul Wayne Haggerty Road</t>
  </si>
  <si>
    <t>AmyGThomas@aol.com</t>
  </si>
  <si>
    <t>504-415-5456</t>
  </si>
  <si>
    <t>38-065</t>
  </si>
  <si>
    <t>VIRGINIA</t>
  </si>
  <si>
    <t>GIVENS</t>
  </si>
  <si>
    <t>3716 Fulton Street</t>
  </si>
  <si>
    <t>Princeton</t>
  </si>
  <si>
    <t>VirginiaMGivens@hotmail.com</t>
  </si>
  <si>
    <t>304-487-6096</t>
  </si>
  <si>
    <t>78-219</t>
  </si>
  <si>
    <t>BALLWEG</t>
  </si>
  <si>
    <t>3532 Round Table Drive</t>
  </si>
  <si>
    <t>LeroyJBallweg@aol.com</t>
  </si>
  <si>
    <t>513-793-4303</t>
  </si>
  <si>
    <t>88-5756</t>
  </si>
  <si>
    <t>SAMUEL</t>
  </si>
  <si>
    <t>1518 Pooh Bear Lane</t>
  </si>
  <si>
    <t>SamuelMRobinson@gmail.com</t>
  </si>
  <si>
    <t>864-621-2834</t>
  </si>
  <si>
    <t>03-272</t>
  </si>
  <si>
    <t>DEREK</t>
  </si>
  <si>
    <t>RIVERA</t>
  </si>
  <si>
    <t>2513 Maloy Court</t>
  </si>
  <si>
    <t>Wakefield</t>
  </si>
  <si>
    <t>DerekLRivera@hotmail.com</t>
  </si>
  <si>
    <t>785-461-6037</t>
  </si>
  <si>
    <t>26-014</t>
  </si>
  <si>
    <t>BOLING</t>
  </si>
  <si>
    <t>1423 Hillcrest Lane</t>
  </si>
  <si>
    <t>Irvine</t>
  </si>
  <si>
    <t>SusanABoling@hotmail.com</t>
  </si>
  <si>
    <t>949-929-5020</t>
  </si>
  <si>
    <t>03-594</t>
  </si>
  <si>
    <t>BAZAN</t>
  </si>
  <si>
    <t>1668 Winifred Way</t>
  </si>
  <si>
    <t>Lafayette</t>
  </si>
  <si>
    <t>KathyJBazan@gmail.com</t>
  </si>
  <si>
    <t>765-746-0191</t>
  </si>
  <si>
    <t>36-8075</t>
  </si>
  <si>
    <t>TARA</t>
  </si>
  <si>
    <t>EMBERTON</t>
  </si>
  <si>
    <t>3032 Anthony Avenue</t>
  </si>
  <si>
    <t>Nubia</t>
  </si>
  <si>
    <t>TaraTEmberton@gmail.com</t>
  </si>
  <si>
    <t>325-846-3787</t>
  </si>
  <si>
    <t>68-3622</t>
  </si>
  <si>
    <t>EARL</t>
  </si>
  <si>
    <t>AGUIRRE</t>
  </si>
  <si>
    <t>3747 McDowell Street</t>
  </si>
  <si>
    <t>EarlMAguirre@hotmail.com</t>
  </si>
  <si>
    <t>931-416-4171</t>
  </si>
  <si>
    <t>01-4076</t>
  </si>
  <si>
    <t>CLARENCE</t>
  </si>
  <si>
    <t>2276 Lowland Drive</t>
  </si>
  <si>
    <t>ClarenceAJoseph@gmail.com</t>
  </si>
  <si>
    <t>815-371-6613</t>
  </si>
  <si>
    <t>34-680</t>
  </si>
  <si>
    <t>TEDDY</t>
  </si>
  <si>
    <t>DISHMAN</t>
  </si>
  <si>
    <t>287 Margaret Street</t>
  </si>
  <si>
    <t>Sugar Land</t>
  </si>
  <si>
    <t>TeddyWDishman@aol.com</t>
  </si>
  <si>
    <t>713-902-5769</t>
  </si>
  <si>
    <t>46-9353</t>
  </si>
  <si>
    <t>JACOBSEN</t>
  </si>
  <si>
    <t>527 Kelly Street</t>
  </si>
  <si>
    <t>JuanGJacobsen@gmail.com</t>
  </si>
  <si>
    <t>704-908-1546</t>
  </si>
  <si>
    <t>01-3941</t>
  </si>
  <si>
    <t>YU</t>
  </si>
  <si>
    <t>2237 Elk Creek Road</t>
  </si>
  <si>
    <t>JamesJYu@aol.com</t>
  </si>
  <si>
    <t>770-522-3655</t>
  </si>
  <si>
    <t>28-480</t>
  </si>
  <si>
    <t>12 Canis Heights Drive</t>
  </si>
  <si>
    <t>CharlesRMarshall@hotmail.com</t>
  </si>
  <si>
    <t>213-617-3930</t>
  </si>
  <si>
    <t>DONALD</t>
  </si>
  <si>
    <t>1429 Ash Street</t>
  </si>
  <si>
    <t>Irving</t>
  </si>
  <si>
    <t>DonaldLMurray@hotmail.com</t>
  </si>
  <si>
    <t>972-871-3664</t>
  </si>
  <si>
    <t>07-025</t>
  </si>
  <si>
    <t>JESUSA</t>
  </si>
  <si>
    <t>LARSEN</t>
  </si>
  <si>
    <t>2252 Crim Lane</t>
  </si>
  <si>
    <t>Mechanicsburg</t>
  </si>
  <si>
    <t>JesusaFLarsen@gmail.com</t>
  </si>
  <si>
    <t>937-834-6456</t>
  </si>
  <si>
    <t>48-7067</t>
  </si>
  <si>
    <t>HOWARD</t>
  </si>
  <si>
    <t>SYKES</t>
  </si>
  <si>
    <t>3845 Swick Hill Street</t>
  </si>
  <si>
    <t>New Orleans</t>
  </si>
  <si>
    <t>HowardJSykes@gmail.com</t>
  </si>
  <si>
    <t>985-255-0725</t>
  </si>
  <si>
    <t>56-2096</t>
  </si>
  <si>
    <t>GUY</t>
  </si>
  <si>
    <t>LENT</t>
  </si>
  <si>
    <t>3898 Arron Smith Drive</t>
  </si>
  <si>
    <t>GuyDLent@hotmail.com</t>
  </si>
  <si>
    <t>808-397-5315</t>
  </si>
  <si>
    <t>01-889</t>
  </si>
  <si>
    <t>2270 Anthony Avenue</t>
  </si>
  <si>
    <t>Eldorado</t>
  </si>
  <si>
    <t>JohnSJacobs@hotmail.com</t>
  </si>
  <si>
    <t>325-853-1929</t>
  </si>
  <si>
    <t>60-7560</t>
  </si>
  <si>
    <t>3620 Sunny Glen Lane</t>
  </si>
  <si>
    <t>LindaRHarris@aol.com</t>
  </si>
  <si>
    <t>216-741-1378</t>
  </si>
  <si>
    <t>42-3187</t>
  </si>
  <si>
    <t>1515 Bird Spring Lane</t>
  </si>
  <si>
    <t>DavidJRobinson@aol.com</t>
  </si>
  <si>
    <t>281-587-3822</t>
  </si>
  <si>
    <t>10-7324</t>
  </si>
  <si>
    <t>LARRY</t>
  </si>
  <si>
    <t>HIGGIN</t>
  </si>
  <si>
    <t>3602 Keyser Ridge Road</t>
  </si>
  <si>
    <t>Archdale</t>
  </si>
  <si>
    <t>LarryGHiggin@hotmail.com</t>
  </si>
  <si>
    <t>336-434-5443</t>
  </si>
  <si>
    <t>01-1104</t>
  </si>
  <si>
    <t>BORDERS</t>
  </si>
  <si>
    <t>3103 Jerry Dove Drive</t>
  </si>
  <si>
    <t>Myrtle Beach</t>
  </si>
  <si>
    <t>MarySBorders@gmail.com</t>
  </si>
  <si>
    <t>843-424-8460</t>
  </si>
  <si>
    <t>85-9855</t>
  </si>
  <si>
    <t>STEPHANIE</t>
  </si>
  <si>
    <t>TIPLER</t>
  </si>
  <si>
    <t>1172 Marie Street</t>
  </si>
  <si>
    <t>StephanieCTipler@hotmail.com</t>
  </si>
  <si>
    <t>410-861-3215</t>
  </si>
  <si>
    <t>62-4098</t>
  </si>
  <si>
    <t>WELCH</t>
  </si>
  <si>
    <t>3019 Dale Avenue</t>
  </si>
  <si>
    <t>Kent</t>
  </si>
  <si>
    <t>DerekRWelch@hotmail.com</t>
  </si>
  <si>
    <t>253-852-4052</t>
  </si>
  <si>
    <t>42-284</t>
  </si>
  <si>
    <t>SCOTTY</t>
  </si>
  <si>
    <t>HORTON</t>
  </si>
  <si>
    <t>4751 Gordon Street</t>
  </si>
  <si>
    <t>Etiwanda</t>
  </si>
  <si>
    <t>ScottyJHorton@gmail.com</t>
  </si>
  <si>
    <t>909-463-0852</t>
  </si>
  <si>
    <t>71-298</t>
  </si>
  <si>
    <t>DIAZ</t>
  </si>
  <si>
    <t>2479 Turkey Pen Road</t>
  </si>
  <si>
    <t>LeeMDiaz@aol.com</t>
  </si>
  <si>
    <t>917-299-0981</t>
  </si>
  <si>
    <t>74-6769</t>
  </si>
  <si>
    <t>VELAZQUEZ</t>
  </si>
  <si>
    <t>4739 Tanglewood Road</t>
  </si>
  <si>
    <t>Saltillo</t>
  </si>
  <si>
    <t>BarbaraWVelazquez@gmail.com</t>
  </si>
  <si>
    <t>662-869-6312</t>
  </si>
  <si>
    <t>39-9306</t>
  </si>
  <si>
    <t>SARAH</t>
  </si>
  <si>
    <t>3648 Chenoweth Drive</t>
  </si>
  <si>
    <t>Clarksville</t>
  </si>
  <si>
    <t>SarahGJohnson@gmail.com</t>
  </si>
  <si>
    <t>931-503-2978</t>
  </si>
  <si>
    <t>56-790</t>
  </si>
  <si>
    <t>777 College View</t>
  </si>
  <si>
    <t>Troy</t>
  </si>
  <si>
    <t>CynthiaJKizer@gmail.com</t>
  </si>
  <si>
    <t>618-667-5060</t>
  </si>
  <si>
    <t>28-9452</t>
  </si>
  <si>
    <t>DAWSON</t>
  </si>
  <si>
    <t>2379 Lang Avenue</t>
  </si>
  <si>
    <t>Salt Lake City</t>
  </si>
  <si>
    <t>ChristopherCDawson@gmail.com</t>
  </si>
  <si>
    <t>435-938-4989</t>
  </si>
  <si>
    <t>48-3969</t>
  </si>
  <si>
    <t>1049 Prospect Street</t>
  </si>
  <si>
    <t>BryanFRobinson@aol.com</t>
  </si>
  <si>
    <t>856-678-5886</t>
  </si>
  <si>
    <t>06-905</t>
  </si>
  <si>
    <t>DUNSON</t>
  </si>
  <si>
    <t>3674 White Oak Drive</t>
  </si>
  <si>
    <t>PatrickCDunson@hotmail.com</t>
  </si>
  <si>
    <t>816-612-5450</t>
  </si>
  <si>
    <t>14-718</t>
  </si>
  <si>
    <t>GILMAN</t>
  </si>
  <si>
    <t>591 Brannon Street</t>
  </si>
  <si>
    <t>DavidJGilman@aol.com</t>
  </si>
  <si>
    <t>213-347-9293</t>
  </si>
  <si>
    <t>89-8017</t>
  </si>
  <si>
    <t>SAWYER</t>
  </si>
  <si>
    <t>1477 Morningview Lane</t>
  </si>
  <si>
    <t>RonaldJSawyer@aol.com</t>
  </si>
  <si>
    <t>646-238-5360</t>
  </si>
  <si>
    <t>84-265</t>
  </si>
  <si>
    <t>3294 Glenwood Avenue</t>
  </si>
  <si>
    <t>JosephBOliver@hotmail.com</t>
  </si>
  <si>
    <t>216-263-2475</t>
  </si>
  <si>
    <t>74-495</t>
  </si>
  <si>
    <t>WEIS</t>
  </si>
  <si>
    <t>509 Maloy Court</t>
  </si>
  <si>
    <t>Home</t>
  </si>
  <si>
    <t>CarlJWeis@aol.com</t>
  </si>
  <si>
    <t>785-382-4302</t>
  </si>
  <si>
    <t>56-6500</t>
  </si>
  <si>
    <t>NORMA</t>
  </si>
  <si>
    <t>FOLDEN</t>
  </si>
  <si>
    <t>1037 Edsel Road</t>
  </si>
  <si>
    <t>NormaIFolden@hotmail.com</t>
  </si>
  <si>
    <t>818-488-1368</t>
  </si>
  <si>
    <t>20-3929</t>
  </si>
  <si>
    <t>BLEVINS</t>
  </si>
  <si>
    <t>1804 Camel Back Road</t>
  </si>
  <si>
    <t>Tulsa</t>
  </si>
  <si>
    <t>DonaldABlevins@aol.com</t>
  </si>
  <si>
    <t>918-581-6967</t>
  </si>
  <si>
    <t>60-3494</t>
  </si>
  <si>
    <t>4565 Philadelphia Avenue</t>
  </si>
  <si>
    <t>SamAPerry@hotmail.com</t>
  </si>
  <si>
    <t>801-301-3595</t>
  </si>
  <si>
    <t>10-836</t>
  </si>
  <si>
    <t>COLEMAN</t>
  </si>
  <si>
    <t>2198 Pinchelone Street</t>
  </si>
  <si>
    <t>Norfolk</t>
  </si>
  <si>
    <t>FrancesSColeman@gmail.com</t>
  </si>
  <si>
    <t>757-371-8587</t>
  </si>
  <si>
    <t>03-114</t>
  </si>
  <si>
    <t>1202 Freed Drive</t>
  </si>
  <si>
    <t>Stockton</t>
  </si>
  <si>
    <t>DavidSWilliams@gmail.com</t>
  </si>
  <si>
    <t>209-774-2113</t>
  </si>
  <si>
    <t>36-861</t>
  </si>
  <si>
    <t>MADELINE</t>
  </si>
  <si>
    <t>HEADLEY</t>
  </si>
  <si>
    <t>844 Browning Lane</t>
  </si>
  <si>
    <t>New Berlin</t>
  </si>
  <si>
    <t>MadelineTHeadley@aol.com</t>
  </si>
  <si>
    <t>607-847-7803</t>
  </si>
  <si>
    <t>70-7789</t>
  </si>
  <si>
    <t>1032 Cecil Street</t>
  </si>
  <si>
    <t>GilbertEDawson@aol.com</t>
  </si>
  <si>
    <t>312-274-6550</t>
  </si>
  <si>
    <t>04-500</t>
  </si>
  <si>
    <t>BARBER</t>
  </si>
  <si>
    <t>591 Tavern Place</t>
  </si>
  <si>
    <t>Lakewood</t>
  </si>
  <si>
    <t>WilliamMBarber@aol.com</t>
  </si>
  <si>
    <t>303-986-6439</t>
  </si>
  <si>
    <t>77-4134</t>
  </si>
  <si>
    <t>LELAND</t>
  </si>
  <si>
    <t>2636 Broad Street</t>
  </si>
  <si>
    <t>LelandJLee@aol.com</t>
  </si>
  <si>
    <t>205-442-9042</t>
  </si>
  <si>
    <t>28-7956</t>
  </si>
  <si>
    <t>151 Emeral Dreams Drive</t>
  </si>
  <si>
    <t>La Salle</t>
  </si>
  <si>
    <t>TaylorMYoung@gmail.com</t>
  </si>
  <si>
    <t>815-224-1168</t>
  </si>
  <si>
    <t>26-0445</t>
  </si>
  <si>
    <t>DELGADO</t>
  </si>
  <si>
    <t>242 Byrd Lane</t>
  </si>
  <si>
    <t>Causey</t>
  </si>
  <si>
    <t>NM</t>
  </si>
  <si>
    <t>LucyDDelgado@aol.com</t>
  </si>
  <si>
    <t>505-273-1301</t>
  </si>
  <si>
    <t>47-5400</t>
  </si>
  <si>
    <t>TOM</t>
  </si>
  <si>
    <t>WEBB</t>
  </si>
  <si>
    <t>2451 Richison Drive</t>
  </si>
  <si>
    <t>Reserve</t>
  </si>
  <si>
    <t>TomDWebb@gmail.com</t>
  </si>
  <si>
    <t>406-286-3178</t>
  </si>
  <si>
    <t>05-084</t>
  </si>
  <si>
    <t>129 Benedum Drive</t>
  </si>
  <si>
    <t>FrankBOlson@hotmail.com</t>
  </si>
  <si>
    <t>845-367-9542</t>
  </si>
  <si>
    <t>09-370</t>
  </si>
  <si>
    <t>TONG</t>
  </si>
  <si>
    <t>4750 Cedarstone Drive</t>
  </si>
  <si>
    <t>KevinMTong@gmail.com</t>
  </si>
  <si>
    <t>419-407-5401</t>
  </si>
  <si>
    <t>36-6791</t>
  </si>
  <si>
    <t>CARPENTER</t>
  </si>
  <si>
    <t>912 Turkey Pen Lane</t>
  </si>
  <si>
    <t>Montgomery</t>
  </si>
  <si>
    <t>AmyJCarpenter@aol.com</t>
  </si>
  <si>
    <t>334-549-8128</t>
  </si>
  <si>
    <t>12-7013</t>
  </si>
  <si>
    <t>3989 Crummit Lane</t>
  </si>
  <si>
    <t>Johnston</t>
  </si>
  <si>
    <t>WilliamJHall@gmail.com</t>
  </si>
  <si>
    <t>401-925-8657</t>
  </si>
  <si>
    <t>46-248</t>
  </si>
  <si>
    <t>MULLEN</t>
  </si>
  <si>
    <t>2953 Coventry Court</t>
  </si>
  <si>
    <t>Biloxi</t>
  </si>
  <si>
    <t>KevinBMullen@hotmail.com</t>
  </si>
  <si>
    <t>228-222-3010</t>
  </si>
  <si>
    <t>57-1488</t>
  </si>
  <si>
    <t>ARTHUR</t>
  </si>
  <si>
    <t>PHARRIS</t>
  </si>
  <si>
    <t>1324 Roosevelt Road</t>
  </si>
  <si>
    <t>Wichita</t>
  </si>
  <si>
    <t>ArthurJPharris@aol.com</t>
  </si>
  <si>
    <t>620-307-0819</t>
  </si>
  <si>
    <t>19-2255</t>
  </si>
  <si>
    <t>WAYNE</t>
  </si>
  <si>
    <t>DRAY</t>
  </si>
  <si>
    <t>3578 Highland View Drive</t>
  </si>
  <si>
    <t>Elk Grove</t>
  </si>
  <si>
    <t>WayneRDray@aol.com</t>
  </si>
  <si>
    <t>916-688-8108</t>
  </si>
  <si>
    <t>50-677</t>
  </si>
  <si>
    <t>CHANCE</t>
  </si>
  <si>
    <t>CRUMP</t>
  </si>
  <si>
    <t>762 Sarah Drive</t>
  </si>
  <si>
    <t>ChanceSCrump@hotmail.com</t>
  </si>
  <si>
    <t>337-503-6181</t>
  </si>
  <si>
    <t>18-1426</t>
  </si>
  <si>
    <t>ROSS</t>
  </si>
  <si>
    <t>1190 Hog Camp Road</t>
  </si>
  <si>
    <t>JulieCRoss@hotmail.com</t>
  </si>
  <si>
    <t>708-435-1491</t>
  </si>
  <si>
    <t>92-4804</t>
  </si>
  <si>
    <t>STACEY</t>
  </si>
  <si>
    <t>HAYNES</t>
  </si>
  <si>
    <t>3039 Briarwood Road</t>
  </si>
  <si>
    <t>Arma</t>
  </si>
  <si>
    <t>StaceyLHaynes@gmail.com</t>
  </si>
  <si>
    <t>417-769-1953</t>
  </si>
  <si>
    <t>92-7444</t>
  </si>
  <si>
    <t>LUCILLE</t>
  </si>
  <si>
    <t>MOSS</t>
  </si>
  <si>
    <t>1929 Beechwood Drive</t>
  </si>
  <si>
    <t>LucilleRMoss@hotmail.com</t>
  </si>
  <si>
    <t>410-972-3074</t>
  </si>
  <si>
    <t>96-5196</t>
  </si>
  <si>
    <t>Employee</t>
  </si>
  <si>
    <t>Office</t>
  </si>
  <si>
    <t>Department</t>
  </si>
  <si>
    <t>2015 Sales</t>
  </si>
  <si>
    <t>2016 Sales</t>
  </si>
  <si>
    <t>Kathy</t>
  </si>
  <si>
    <t>Electronics</t>
  </si>
  <si>
    <t>John</t>
  </si>
  <si>
    <t>Mindy</t>
  </si>
  <si>
    <t>Apparel</t>
  </si>
  <si>
    <t>Max 2016 Sales in NYC office:</t>
  </si>
  <si>
    <t>Aaron</t>
  </si>
  <si>
    <t>Phil</t>
  </si>
  <si>
    <t>Max 2016 Sales in NYC office, Electronics only:</t>
  </si>
  <si>
    <t>Bill</t>
  </si>
  <si>
    <t>Sum of 2015 and 2016 Sales in Boston:</t>
  </si>
  <si>
    <t>Lauren</t>
  </si>
  <si>
    <t>Jason</t>
  </si>
  <si>
    <t>Kim</t>
  </si>
  <si>
    <t>CHI</t>
  </si>
  <si>
    <t>Tina</t>
  </si>
  <si>
    <t>Sam</t>
  </si>
  <si>
    <t>Ashley</t>
  </si>
  <si>
    <t>Q10) Instructions</t>
  </si>
  <si>
    <t>Find the number of bottles we need to sell to reach $10,000 in profit</t>
  </si>
  <si>
    <t>Assumptions</t>
  </si>
  <si>
    <t>Sales Price per Bottle</t>
  </si>
  <si>
    <t>Sales Tax</t>
  </si>
  <si>
    <t>Cost per bottle</t>
  </si>
  <si>
    <t>Profitability</t>
  </si>
  <si>
    <t>Bottles Sold</t>
  </si>
  <si>
    <t>Sales</t>
  </si>
  <si>
    <t>Profit</t>
  </si>
  <si>
    <t>Q9) Instructions</t>
  </si>
  <si>
    <t>(CONDITIONAL FORMATTING -&gt; TOP/BOTTOM RULE)</t>
  </si>
  <si>
    <t>Step 1: Highlight in red the 10 lowest orders</t>
  </si>
  <si>
    <t>Name</t>
  </si>
  <si>
    <t>Brand</t>
  </si>
  <si>
    <t>Units</t>
  </si>
  <si>
    <t>Bill Smith</t>
  </si>
  <si>
    <t>Nike</t>
  </si>
  <si>
    <t>Kennedi Singh</t>
  </si>
  <si>
    <t>Armani</t>
  </si>
  <si>
    <t>Harley Fritz</t>
  </si>
  <si>
    <t>Nyla Novak</t>
  </si>
  <si>
    <t>Ivan Hines</t>
  </si>
  <si>
    <t>Puma</t>
  </si>
  <si>
    <t>Jonah Higgins</t>
  </si>
  <si>
    <t>Asics</t>
  </si>
  <si>
    <t>Jordan Boone</t>
  </si>
  <si>
    <t>Kylee Townsend</t>
  </si>
  <si>
    <t>Nora Rollins</t>
  </si>
  <si>
    <t>Brendan Walls</t>
  </si>
  <si>
    <t>Steven Michael</t>
  </si>
  <si>
    <t>Lucia Mckay</t>
  </si>
  <si>
    <t>Josue Roach</t>
  </si>
  <si>
    <t>Franklin Wright</t>
  </si>
  <si>
    <t>Denzel Flores</t>
  </si>
  <si>
    <t>Bruno Cordova</t>
  </si>
  <si>
    <t>Uniqlo</t>
  </si>
  <si>
    <t>Jaylynn Knapp</t>
  </si>
  <si>
    <t>Bruce Rich</t>
  </si>
  <si>
    <t>Bryce Carpenter</t>
  </si>
  <si>
    <t>Jaidyn Andersen</t>
  </si>
  <si>
    <t>Warren Munger</t>
  </si>
  <si>
    <t>Charlie Buffett</t>
  </si>
  <si>
    <t>Kobe James</t>
  </si>
  <si>
    <t>Jordan Bryant</t>
  </si>
  <si>
    <t>Tom Manning</t>
  </si>
  <si>
    <t>Peyton Brady</t>
  </si>
  <si>
    <t>Bob Builder</t>
  </si>
  <si>
    <t>Messi Ronaldo</t>
  </si>
  <si>
    <t>Roger Nadal</t>
  </si>
  <si>
    <t>Rafael Federer</t>
  </si>
  <si>
    <t>Sam Smith</t>
  </si>
  <si>
    <t>Ed Mars</t>
  </si>
  <si>
    <t>Q8) Instructions</t>
  </si>
  <si>
    <t>Fill orange area using a formula that can be copied down to accept or reject a project based on the mimimum requirements</t>
  </si>
  <si>
    <t>Projects</t>
  </si>
  <si>
    <t>Revenue Est.</t>
  </si>
  <si>
    <t>Profit Est.</t>
  </si>
  <si>
    <t>Decision</t>
  </si>
  <si>
    <t>Minimum Requirements</t>
  </si>
  <si>
    <t>(IF FUNCTION)</t>
  </si>
  <si>
    <t>Project A</t>
  </si>
  <si>
    <t>Revenue</t>
  </si>
  <si>
    <t>Project B</t>
  </si>
  <si>
    <t>Project C</t>
  </si>
  <si>
    <t>Project D</t>
  </si>
  <si>
    <t>Project E</t>
  </si>
  <si>
    <t>Bonus Question</t>
  </si>
  <si>
    <t>Remove the parentheses and everything inside of it for each client.</t>
  </si>
  <si>
    <t>(USE REPLACE (*))</t>
  </si>
  <si>
    <t>Contact</t>
  </si>
  <si>
    <t>Client</t>
  </si>
  <si>
    <t xml:space="preserve">AMAZON.COM, INC.  </t>
  </si>
  <si>
    <t>Mike</t>
  </si>
  <si>
    <t xml:space="preserve">TESLA, INC.  </t>
  </si>
  <si>
    <t>*REPLACED USING FIND AND SELECT*</t>
  </si>
  <si>
    <t>Sarah</t>
  </si>
  <si>
    <t xml:space="preserve">NETFLIX, INC.  </t>
  </si>
  <si>
    <t>Jane</t>
  </si>
  <si>
    <t xml:space="preserve">THE PROCTER &amp; GAMBLE COMPANY  </t>
  </si>
  <si>
    <t>Andrew</t>
  </si>
  <si>
    <t xml:space="preserve">THE GOLDMAN SACHS GROUP, INC.  </t>
  </si>
  <si>
    <t>Jenny</t>
  </si>
  <si>
    <t xml:space="preserve">JPMORGAN CHASE &amp; CO.  </t>
  </si>
  <si>
    <t>Jeff</t>
  </si>
  <si>
    <t xml:space="preserve">MORGAN STANLEY  </t>
  </si>
  <si>
    <t xml:space="preserve">CITIGROUP INC.  </t>
  </si>
  <si>
    <t>Lana</t>
  </si>
  <si>
    <t xml:space="preserve">BANK OF AMERICA CORPORATION  </t>
  </si>
  <si>
    <t>Jack</t>
  </si>
  <si>
    <t xml:space="preserve">WALMART INC.  </t>
  </si>
  <si>
    <t>Mila</t>
  </si>
  <si>
    <t xml:space="preserve">TARGET CORPORATION  </t>
  </si>
  <si>
    <t>Question 5</t>
  </si>
  <si>
    <t>Employees with revenue over 50k should receive a bonus of 5% of revenue.</t>
  </si>
  <si>
    <t>Calculate the bonus amount in the yellow area. If not over 50k, leave blank.</t>
  </si>
  <si>
    <t>Bonus</t>
  </si>
  <si>
    <t>Min. Revenue</t>
  </si>
  <si>
    <t>Marketing</t>
  </si>
  <si>
    <t>Bonus %</t>
  </si>
  <si>
    <t>Design</t>
  </si>
  <si>
    <t>Tech</t>
  </si>
  <si>
    <t>Question 6</t>
  </si>
  <si>
    <t>Use a pivot table to find the total revenue by product and average profit by product.</t>
  </si>
  <si>
    <t xml:space="preserve">(PIVOT TABLE) and also apply  suitable chart for it </t>
  </si>
  <si>
    <t>ID Number</t>
  </si>
  <si>
    <t>Product</t>
  </si>
  <si>
    <t>Apples</t>
  </si>
  <si>
    <t>Lemons</t>
  </si>
  <si>
    <t>Bananas</t>
  </si>
  <si>
    <t>Oranges</t>
  </si>
  <si>
    <t>Grapes</t>
  </si>
  <si>
    <t>Sum of Revenue</t>
  </si>
  <si>
    <t>Average of Profit</t>
  </si>
  <si>
    <t>Peaches</t>
  </si>
  <si>
    <t>Grand Total</t>
  </si>
  <si>
    <t>Student</t>
  </si>
  <si>
    <t>Score</t>
  </si>
  <si>
    <t>Pass/Fail</t>
  </si>
  <si>
    <t>Letter</t>
  </si>
  <si>
    <t>Outlier</t>
  </si>
  <si>
    <t>Award</t>
  </si>
  <si>
    <t>Jill</t>
  </si>
  <si>
    <t>Brittany</t>
  </si>
  <si>
    <t>Alan</t>
  </si>
  <si>
    <t>George</t>
  </si>
  <si>
    <t>Sally</t>
  </si>
  <si>
    <t>Chris</t>
  </si>
  <si>
    <t>Jamie</t>
  </si>
  <si>
    <t>Valorie</t>
  </si>
  <si>
    <t>Steve</t>
  </si>
  <si>
    <t>Jake</t>
  </si>
  <si>
    <t>Lori</t>
  </si>
  <si>
    <t>Meghan</t>
  </si>
  <si>
    <t>Michelle</t>
  </si>
  <si>
    <t>Tim</t>
  </si>
  <si>
    <t>Date</t>
  </si>
  <si>
    <t>Phone Calls</t>
  </si>
  <si>
    <t>Leads</t>
  </si>
  <si>
    <t>Leads per Call</t>
  </si>
  <si>
    <t>Sales per Call</t>
  </si>
  <si>
    <t>Revenue Change</t>
  </si>
  <si>
    <t>Cost</t>
  </si>
  <si>
    <t>Profit Margin</t>
  </si>
  <si>
    <t>Q1) Instructions</t>
  </si>
  <si>
    <t>Calculate = total sales, and avg sale price, maximum, and minimum</t>
  </si>
  <si>
    <t>Order ID</t>
  </si>
  <si>
    <t>First</t>
  </si>
  <si>
    <t>Last</t>
  </si>
  <si>
    <t>Purchase</t>
  </si>
  <si>
    <t>Sponge</t>
  </si>
  <si>
    <t>Bob</t>
  </si>
  <si>
    <t>$290</t>
  </si>
  <si>
    <t>Homer</t>
  </si>
  <si>
    <t>Simp</t>
  </si>
  <si>
    <t>Elon</t>
  </si>
  <si>
    <t>Jobs</t>
  </si>
  <si>
    <t>Musk</t>
  </si>
  <si>
    <t>TOTAL SALES</t>
  </si>
  <si>
    <t>AVERAGE SALES</t>
  </si>
  <si>
    <t>MAXIMUM SALES</t>
  </si>
  <si>
    <t>MINIMUM SALES</t>
  </si>
  <si>
    <t>Warren</t>
  </si>
  <si>
    <t>Munger</t>
  </si>
  <si>
    <t>Manning</t>
  </si>
  <si>
    <t>Peyton</t>
  </si>
  <si>
    <t>Brady</t>
  </si>
  <si>
    <t>$567</t>
  </si>
  <si>
    <t>Roger</t>
  </si>
  <si>
    <t>Nadal</t>
  </si>
  <si>
    <t>Rafael</t>
  </si>
  <si>
    <t>Federer</t>
  </si>
  <si>
    <t>Ed</t>
  </si>
  <si>
    <t>Mars</t>
  </si>
  <si>
    <t>Bruno</t>
  </si>
  <si>
    <t>Sheeran</t>
  </si>
  <si>
    <t>Elvis</t>
  </si>
  <si>
    <t>Einstein</t>
  </si>
  <si>
    <t>Oprah</t>
  </si>
  <si>
    <t>Obama</t>
  </si>
  <si>
    <t>Walt</t>
  </si>
  <si>
    <t>Ford</t>
  </si>
  <si>
    <t>Henry</t>
  </si>
  <si>
    <t>Disney</t>
  </si>
  <si>
    <t>Shohei</t>
  </si>
  <si>
    <t>Soto</t>
  </si>
  <si>
    <t>Juan</t>
  </si>
  <si>
    <t>Ohtani</t>
  </si>
  <si>
    <t>Bo</t>
  </si>
  <si>
    <t>Rogan</t>
  </si>
  <si>
    <t/>
  </si>
  <si>
    <t>Total Sales</t>
  </si>
  <si>
    <t>Average Sales</t>
  </si>
  <si>
    <t xml:space="preserve"> Max Sales</t>
  </si>
  <si>
    <t>Total Employees</t>
  </si>
  <si>
    <t>Total Inventory Item</t>
  </si>
  <si>
    <t>Product Code</t>
  </si>
  <si>
    <t xml:space="preserve">Total Inventory Item Warehouse 1 </t>
  </si>
  <si>
    <t>Row Labels</t>
  </si>
  <si>
    <t>Sum of Purchase</t>
  </si>
  <si>
    <t>Average of Pay Rate</t>
  </si>
  <si>
    <t>Deepak</t>
  </si>
  <si>
    <t>Nepram</t>
  </si>
  <si>
    <t>BA</t>
  </si>
  <si>
    <t>dpknepram26@gmail.com</t>
  </si>
  <si>
    <t>Bangalore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</si>
</sst>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 &quot;₹&quot;\ * #,##0.00_ ;_ &quot;₹&quot;\ * \-#,##0.00_ ;_ &quot;₹&quot;\ * &quot;-&quot;??_ ;_ @_ "/>
    <numFmt numFmtId="164" formatCode="&quot;$&quot;#,##0"/>
    <numFmt numFmtId="165" formatCode="dd\-mmm\-yy"/>
    <numFmt numFmtId="166" formatCode="_(&quot;$&quot;* #,##0.00_);_(&quot;$&quot;* \(#,##0.00\);_(&quot;$&quot;* &quot;-&quot;??_);_(@_)"/>
    <numFmt numFmtId="167" formatCode="&quot;$&quot;#,##0.00"/>
    <numFmt numFmtId="168" formatCode="_(* #,##0_);_(* \(#,##0\);_(* &quot;-&quot;??_);_(@_)"/>
    <numFmt numFmtId="169" formatCode="&quot;$&quot;#,##0.00_);\(&quot;$&quot;#,##0.00\)"/>
    <numFmt numFmtId="170" formatCode="[$$-409]#,##0"/>
    <numFmt numFmtId="171" formatCode="&quot;$&quot;#,##0_);[Red]\(&quot;$&quot;#,##0\)"/>
    <numFmt numFmtId="172" formatCode="d/m/yyyy"/>
    <numFmt numFmtId="173" formatCode="&quot;₹&quot;\ #,##0.00"/>
    <numFmt numFmtId="174" formatCode="0.0%"/>
    <numFmt numFmtId="175" formatCode="00000"/>
    <numFmt numFmtId="177" formatCode="_-[$$-409]* #,##0.00_ ;_-[$$-409]* \-#,##0.00\ ;_-[$$-409]* &quot;-&quot;??_ ;_-@_ "/>
  </numFmts>
  <fonts count="24">
    <font>
      <sz val="11"/>
      <color theme="1"/>
      <name val="Calibri"/>
      <scheme val="minor"/>
    </font>
    <font>
      <sz val="11"/>
      <color theme="1"/>
      <name val="Calibri"/>
    </font>
    <font>
      <u/>
      <sz val="11"/>
      <color theme="10"/>
      <name val="Calibri"/>
    </font>
    <font>
      <b/>
      <sz val="10"/>
      <color theme="1"/>
      <name val="Arial"/>
    </font>
    <font>
      <sz val="10"/>
      <color theme="1"/>
      <name val="Arial"/>
    </font>
    <font>
      <u/>
      <sz val="10"/>
      <color theme="1"/>
      <name val="Arial"/>
    </font>
    <font>
      <u/>
      <sz val="10"/>
      <color theme="1"/>
      <name val="Arial"/>
    </font>
    <font>
      <sz val="11"/>
      <color theme="1"/>
      <name val="Calibri"/>
      <scheme val="minor"/>
    </font>
    <font>
      <i/>
      <sz val="10"/>
      <color theme="1"/>
      <name val="Arial"/>
    </font>
    <font>
      <b/>
      <sz val="18"/>
      <color theme="0"/>
      <name val="Calibri"/>
    </font>
    <font>
      <sz val="11"/>
      <name val="Calibri"/>
    </font>
    <font>
      <sz val="10"/>
      <color theme="1"/>
      <name val="Calibri"/>
    </font>
    <font>
      <b/>
      <sz val="14"/>
      <color theme="0"/>
      <name val="Calibri"/>
    </font>
    <font>
      <b/>
      <sz val="11"/>
      <color theme="1"/>
      <name val="Calibri"/>
    </font>
    <font>
      <b/>
      <sz val="11"/>
      <color rgb="FF3F3F76"/>
      <name val="Calibri"/>
    </font>
    <font>
      <b/>
      <sz val="11"/>
      <color rgb="FF3F3F3F"/>
      <name val="Calibri"/>
    </font>
    <font>
      <b/>
      <sz val="15"/>
      <color theme="0"/>
      <name val="Calibri"/>
    </font>
    <font>
      <sz val="11"/>
      <color rgb="FF000000"/>
      <name val="Calibri"/>
    </font>
    <font>
      <i/>
      <sz val="11"/>
      <color theme="1"/>
      <name val="Calibri"/>
    </font>
    <font>
      <b/>
      <sz val="12"/>
      <color theme="1"/>
      <name val="Calibri"/>
    </font>
    <font>
      <b/>
      <sz val="11"/>
      <color theme="0"/>
      <name val="Calibri"/>
    </font>
    <font>
      <b/>
      <sz val="12"/>
      <color theme="0"/>
      <name val="Calibri"/>
    </font>
    <font>
      <b/>
      <sz val="14"/>
      <color theme="1"/>
      <name val="Calibri"/>
    </font>
    <font>
      <sz val="12"/>
      <color theme="1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FFD965"/>
        <bgColor rgb="FFFFD965"/>
      </patternFill>
    </fill>
    <fill>
      <patternFill patternType="solid">
        <fgColor rgb="FFE2EFD9"/>
        <bgColor rgb="FFE2EFD9"/>
      </patternFill>
    </fill>
    <fill>
      <patternFill patternType="solid">
        <fgColor theme="5"/>
        <bgColor theme="5"/>
      </patternFill>
    </fill>
    <fill>
      <patternFill patternType="solid">
        <fgColor theme="8"/>
        <bgColor theme="8"/>
      </patternFill>
    </fill>
    <fill>
      <patternFill patternType="solid">
        <fgColor rgb="FFD9E2F3"/>
        <bgColor rgb="FFD9E2F3"/>
      </patternFill>
    </fill>
    <fill>
      <patternFill patternType="solid">
        <fgColor rgb="FFFFCC99"/>
        <bgColor rgb="FFFFCC99"/>
      </patternFill>
    </fill>
    <fill>
      <patternFill patternType="solid">
        <fgColor rgb="FFF2F2F2"/>
        <bgColor rgb="FFF2F2F2"/>
      </patternFill>
    </fill>
    <fill>
      <patternFill patternType="solid">
        <fgColor theme="4"/>
        <bgColor theme="4"/>
      </patternFill>
    </fill>
    <fill>
      <patternFill patternType="solid">
        <fgColor rgb="FF9CC2E5"/>
        <bgColor rgb="FF9CC2E5"/>
      </patternFill>
    </fill>
    <fill>
      <patternFill patternType="solid">
        <fgColor rgb="FFD6DCE4"/>
        <bgColor rgb="FFD6DCE4"/>
      </patternFill>
    </fill>
    <fill>
      <patternFill patternType="solid">
        <fgColor rgb="FFFEF2CB"/>
        <bgColor rgb="FFFEF2CB"/>
      </patternFill>
    </fill>
    <fill>
      <patternFill patternType="solid">
        <fgColor rgb="FFF7CAAC"/>
        <bgColor rgb="FFF7CAAC"/>
      </patternFill>
    </fill>
    <fill>
      <patternFill patternType="solid">
        <fgColor rgb="FFE7E6E6"/>
        <bgColor rgb="FFE7E6E6"/>
      </patternFill>
    </fill>
    <fill>
      <patternFill patternType="solid">
        <fgColor rgb="FF2A3E68"/>
        <bgColor rgb="FF2A3E68"/>
      </patternFill>
    </fill>
    <fill>
      <patternFill patternType="solid">
        <fgColor rgb="FFFFFF99"/>
        <bgColor rgb="FFFFFF99"/>
      </patternFill>
    </fill>
    <fill>
      <patternFill patternType="solid">
        <fgColor rgb="FF293D68"/>
        <bgColor rgb="FF293D68"/>
      </patternFill>
    </fill>
    <fill>
      <patternFill patternType="solid">
        <fgColor rgb="FFFBE4D5"/>
        <bgColor rgb="FFFBE4D5"/>
      </patternFill>
    </fill>
    <fill>
      <patternFill patternType="solid">
        <fgColor rgb="FF00B050"/>
        <bgColor rgb="FF00B050"/>
      </patternFill>
    </fill>
    <fill>
      <patternFill patternType="solid">
        <fgColor rgb="FFFFFF00"/>
        <bgColor rgb="FFFFFF00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rgb="FFACCCE9"/>
      </bottom>
      <diagonal/>
    </border>
    <border>
      <left/>
      <right/>
      <top/>
      <bottom style="thick">
        <color rgb="FFACCCE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126">
    <xf numFmtId="0" fontId="0" fillId="0" borderId="0" xfId="0" applyFont="1" applyAlignment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0" fontId="7" fillId="0" borderId="0" xfId="0" applyFont="1"/>
    <xf numFmtId="0" fontId="8" fillId="0" borderId="0" xfId="0" applyFont="1"/>
    <xf numFmtId="164" fontId="4" fillId="0" borderId="0" xfId="0" applyNumberFormat="1" applyFont="1"/>
    <xf numFmtId="164" fontId="1" fillId="0" borderId="0" xfId="0" applyNumberFormat="1" applyFont="1"/>
    <xf numFmtId="0" fontId="11" fillId="0" borderId="0" xfId="0" applyFont="1"/>
    <xf numFmtId="0" fontId="13" fillId="6" borderId="1" xfId="0" applyFont="1" applyFill="1" applyBorder="1" applyAlignment="1">
      <alignment horizontal="right"/>
    </xf>
    <xf numFmtId="0" fontId="14" fillId="7" borderId="7" xfId="0" applyFont="1" applyFill="1" applyBorder="1" applyAlignment="1">
      <alignment horizontal="center"/>
    </xf>
    <xf numFmtId="0" fontId="15" fillId="8" borderId="8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3" fillId="10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165" fontId="17" fillId="0" borderId="1" xfId="0" applyNumberFormat="1" applyFont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/>
    </xf>
    <xf numFmtId="0" fontId="13" fillId="11" borderId="16" xfId="0" applyFont="1" applyFill="1" applyBorder="1" applyAlignment="1">
      <alignment horizontal="center"/>
    </xf>
    <xf numFmtId="0" fontId="13" fillId="11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12" borderId="17" xfId="0" applyFont="1" applyFill="1" applyBorder="1" applyAlignment="1">
      <alignment horizontal="center"/>
    </xf>
    <xf numFmtId="0" fontId="13" fillId="11" borderId="17" xfId="0" applyFont="1" applyFill="1" applyBorder="1"/>
    <xf numFmtId="0" fontId="1" fillId="0" borderId="0" xfId="0" applyFont="1"/>
    <xf numFmtId="0" fontId="1" fillId="3" borderId="17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164" fontId="18" fillId="13" borderId="17" xfId="0" applyNumberFormat="1" applyFont="1" applyFill="1" applyBorder="1" applyAlignment="1">
      <alignment horizontal="right"/>
    </xf>
    <xf numFmtId="0" fontId="19" fillId="14" borderId="17" xfId="0" applyFont="1" applyFill="1" applyBorder="1"/>
    <xf numFmtId="9" fontId="1" fillId="0" borderId="0" xfId="0" applyNumberFormat="1" applyFont="1"/>
    <xf numFmtId="2" fontId="1" fillId="0" borderId="0" xfId="0" applyNumberFormat="1" applyFont="1"/>
    <xf numFmtId="168" fontId="1" fillId="12" borderId="17" xfId="0" applyNumberFormat="1" applyFont="1" applyFill="1" applyBorder="1"/>
    <xf numFmtId="169" fontId="1" fillId="0" borderId="0" xfId="0" applyNumberFormat="1" applyFont="1"/>
    <xf numFmtId="0" fontId="13" fillId="16" borderId="20" xfId="0" applyFont="1" applyFill="1" applyBorder="1"/>
    <xf numFmtId="169" fontId="13" fillId="16" borderId="20" xfId="0" applyNumberFormat="1" applyFont="1" applyFill="1" applyBorder="1"/>
    <xf numFmtId="0" fontId="1" fillId="14" borderId="17" xfId="0" applyFont="1" applyFill="1" applyBorder="1"/>
    <xf numFmtId="0" fontId="21" fillId="15" borderId="17" xfId="0" applyFont="1" applyFill="1" applyBorder="1" applyAlignment="1">
      <alignment horizontal="center"/>
    </xf>
    <xf numFmtId="0" fontId="21" fillId="15" borderId="17" xfId="0" applyFont="1" applyFill="1" applyBorder="1" applyAlignment="1">
      <alignment horizontal="center" wrapText="1"/>
    </xf>
    <xf numFmtId="3" fontId="1" fillId="0" borderId="0" xfId="0" applyNumberFormat="1" applyFont="1" applyAlignment="1">
      <alignment horizontal="center" vertical="center"/>
    </xf>
    <xf numFmtId="0" fontId="21" fillId="17" borderId="17" xfId="0" applyFont="1" applyFill="1" applyBorder="1"/>
    <xf numFmtId="0" fontId="21" fillId="17" borderId="17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170" fontId="1" fillId="0" borderId="0" xfId="0" applyNumberFormat="1" applyFont="1" applyAlignment="1">
      <alignment horizontal="center"/>
    </xf>
    <xf numFmtId="0" fontId="1" fillId="18" borderId="17" xfId="0" applyFont="1" applyFill="1" applyBorder="1" applyAlignment="1">
      <alignment horizontal="center"/>
    </xf>
    <xf numFmtId="0" fontId="21" fillId="19" borderId="17" xfId="0" applyFont="1" applyFill="1" applyBorder="1" applyAlignment="1">
      <alignment horizontal="center"/>
    </xf>
    <xf numFmtId="0" fontId="1" fillId="20" borderId="17" xfId="0" applyFont="1" applyFill="1" applyBorder="1"/>
    <xf numFmtId="0" fontId="1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21" fillId="4" borderId="17" xfId="0" applyFont="1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3" fontId="1" fillId="12" borderId="17" xfId="0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0" fontId="22" fillId="0" borderId="0" xfId="0" applyFont="1"/>
    <xf numFmtId="0" fontId="20" fillId="19" borderId="17" xfId="0" applyFont="1" applyFill="1" applyBorder="1" applyAlignment="1">
      <alignment horizontal="center"/>
    </xf>
    <xf numFmtId="171" fontId="1" fillId="0" borderId="0" xfId="0" applyNumberFormat="1" applyFont="1" applyAlignment="1">
      <alignment horizontal="center"/>
    </xf>
    <xf numFmtId="10" fontId="13" fillId="11" borderId="17" xfId="0" applyNumberFormat="1" applyFont="1" applyFill="1" applyBorder="1" applyAlignment="1">
      <alignment horizontal="center"/>
    </xf>
    <xf numFmtId="172" fontId="1" fillId="0" borderId="0" xfId="0" applyNumberFormat="1" applyFont="1" applyAlignment="1">
      <alignment horizontal="center"/>
    </xf>
    <xf numFmtId="10" fontId="1" fillId="12" borderId="17" xfId="0" applyNumberFormat="1" applyFont="1" applyFill="1" applyBorder="1" applyAlignment="1">
      <alignment horizontal="center"/>
    </xf>
    <xf numFmtId="0" fontId="19" fillId="0" borderId="0" xfId="0" applyFont="1"/>
    <xf numFmtId="173" fontId="19" fillId="0" borderId="0" xfId="0" applyNumberFormat="1" applyFont="1"/>
    <xf numFmtId="174" fontId="19" fillId="0" borderId="0" xfId="0" applyNumberFormat="1" applyFont="1"/>
    <xf numFmtId="173" fontId="1" fillId="0" borderId="0" xfId="0" applyNumberFormat="1" applyFont="1"/>
    <xf numFmtId="174" fontId="1" fillId="0" borderId="0" xfId="0" applyNumberFormat="1" applyFont="1"/>
    <xf numFmtId="0" fontId="23" fillId="14" borderId="17" xfId="0" applyFont="1" applyFill="1" applyBorder="1"/>
    <xf numFmtId="0" fontId="20" fillId="15" borderId="17" xfId="0" applyFont="1" applyFill="1" applyBorder="1"/>
    <xf numFmtId="172" fontId="1" fillId="0" borderId="0" xfId="0" applyNumberFormat="1" applyFont="1" applyAlignment="1">
      <alignment horizontal="left"/>
    </xf>
    <xf numFmtId="175" fontId="1" fillId="0" borderId="0" xfId="0" applyNumberFormat="1" applyFont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9" fillId="4" borderId="2" xfId="0" applyFont="1" applyFill="1" applyBorder="1" applyAlignment="1">
      <alignment horizontal="center"/>
    </xf>
    <xf numFmtId="0" fontId="10" fillId="0" borderId="3" xfId="0" applyFont="1" applyBorder="1"/>
    <xf numFmtId="0" fontId="10" fillId="0" borderId="4" xfId="0" applyFont="1" applyBorder="1"/>
    <xf numFmtId="0" fontId="12" fillId="5" borderId="5" xfId="0" applyFont="1" applyFill="1" applyBorder="1" applyAlignment="1">
      <alignment horizontal="center" vertical="center"/>
    </xf>
    <xf numFmtId="0" fontId="10" fillId="0" borderId="6" xfId="0" applyFont="1" applyBorder="1"/>
    <xf numFmtId="0" fontId="16" fillId="9" borderId="9" xfId="0" applyFont="1" applyFill="1" applyBorder="1" applyAlignment="1">
      <alignment horizontal="center" vertical="center"/>
    </xf>
    <xf numFmtId="0" fontId="10" fillId="0" borderId="10" xfId="0" applyFont="1" applyBorder="1"/>
    <xf numFmtId="0" fontId="10" fillId="0" borderId="11" xfId="0" applyFont="1" applyBorder="1"/>
    <xf numFmtId="0" fontId="10" fillId="0" borderId="12" xfId="0" applyFont="1" applyBorder="1"/>
    <xf numFmtId="0" fontId="10" fillId="0" borderId="13" xfId="0" applyFont="1" applyBorder="1"/>
    <xf numFmtId="0" fontId="10" fillId="0" borderId="14" xfId="0" applyFont="1" applyBorder="1"/>
    <xf numFmtId="0" fontId="20" fillId="15" borderId="19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1" fillId="17" borderId="19" xfId="0" applyFont="1" applyFill="1" applyBorder="1" applyAlignment="1">
      <alignment horizontal="center"/>
    </xf>
    <xf numFmtId="0" fontId="0" fillId="0" borderId="21" xfId="0" applyFont="1" applyBorder="1" applyAlignment="1"/>
    <xf numFmtId="0" fontId="0" fillId="0" borderId="21" xfId="0" pivotButton="1" applyFont="1" applyBorder="1" applyAlignment="1"/>
    <xf numFmtId="0" fontId="0" fillId="0" borderId="22" xfId="0" applyFont="1" applyBorder="1" applyAlignment="1"/>
    <xf numFmtId="0" fontId="0" fillId="0" borderId="23" xfId="0" applyFont="1" applyBorder="1" applyAlignment="1"/>
    <xf numFmtId="0" fontId="0" fillId="0" borderId="21" xfId="0" applyNumberFormat="1" applyFont="1" applyBorder="1" applyAlignment="1"/>
    <xf numFmtId="0" fontId="0" fillId="0" borderId="23" xfId="0" applyNumberFormat="1" applyFont="1" applyBorder="1" applyAlignment="1"/>
    <xf numFmtId="0" fontId="0" fillId="0" borderId="24" xfId="0" applyFont="1" applyBorder="1" applyAlignment="1"/>
    <xf numFmtId="0" fontId="0" fillId="0" borderId="24" xfId="0" applyNumberFormat="1" applyFont="1" applyBorder="1" applyAlignment="1"/>
    <xf numFmtId="0" fontId="0" fillId="0" borderId="25" xfId="0" applyNumberFormat="1" applyFont="1" applyBorder="1" applyAlignment="1"/>
    <xf numFmtId="0" fontId="0" fillId="0" borderId="26" xfId="0" applyFont="1" applyBorder="1" applyAlignment="1"/>
    <xf numFmtId="0" fontId="0" fillId="0" borderId="26" xfId="0" applyNumberFormat="1" applyFont="1" applyBorder="1" applyAlignment="1"/>
    <xf numFmtId="0" fontId="0" fillId="0" borderId="27" xfId="0" applyNumberFormat="1" applyFont="1" applyBorder="1" applyAlignment="1"/>
    <xf numFmtId="0" fontId="17" fillId="0" borderId="28" xfId="0" applyFont="1" applyBorder="1" applyAlignment="1">
      <alignment horizontal="center" vertical="center" wrapText="1"/>
    </xf>
    <xf numFmtId="165" fontId="17" fillId="0" borderId="28" xfId="0" applyNumberFormat="1" applyFont="1" applyBorder="1" applyAlignment="1">
      <alignment horizontal="center" vertical="center" wrapText="1"/>
    </xf>
    <xf numFmtId="0" fontId="16" fillId="9" borderId="19" xfId="0" applyFont="1" applyFill="1" applyBorder="1" applyAlignment="1">
      <alignment horizontal="center" vertical="center"/>
    </xf>
    <xf numFmtId="0" fontId="10" fillId="0" borderId="19" xfId="0" applyFont="1" applyBorder="1"/>
    <xf numFmtId="0" fontId="17" fillId="0" borderId="29" xfId="0" applyFont="1" applyBorder="1" applyAlignment="1">
      <alignment horizontal="center" vertical="center" wrapText="1"/>
    </xf>
    <xf numFmtId="166" fontId="1" fillId="0" borderId="30" xfId="0" applyNumberFormat="1" applyFont="1" applyBorder="1"/>
    <xf numFmtId="0" fontId="13" fillId="10" borderId="31" xfId="0" applyFont="1" applyFill="1" applyBorder="1" applyAlignment="1">
      <alignment horizontal="center" vertical="center"/>
    </xf>
    <xf numFmtId="0" fontId="13" fillId="10" borderId="32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7" fillId="0" borderId="34" xfId="0" applyFont="1" applyBorder="1" applyAlignment="1">
      <alignment horizontal="center" vertical="center" wrapText="1"/>
    </xf>
    <xf numFmtId="166" fontId="1" fillId="0" borderId="15" xfId="0" applyNumberFormat="1" applyFont="1" applyBorder="1"/>
    <xf numFmtId="0" fontId="13" fillId="6" borderId="29" xfId="0" applyFont="1" applyFill="1" applyBorder="1" applyAlignment="1">
      <alignment horizontal="right"/>
    </xf>
    <xf numFmtId="0" fontId="13" fillId="0" borderId="30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2" fillId="5" borderId="19" xfId="0" applyFont="1" applyFill="1" applyBorder="1" applyAlignment="1">
      <alignment horizontal="center" vertical="center"/>
    </xf>
    <xf numFmtId="177" fontId="0" fillId="0" borderId="0" xfId="0" applyNumberFormat="1" applyFont="1" applyAlignment="1"/>
    <xf numFmtId="177" fontId="0" fillId="0" borderId="0" xfId="1" applyNumberFormat="1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177" fontId="20" fillId="15" borderId="17" xfId="0" applyNumberFormat="1" applyFont="1" applyFill="1" applyBorder="1"/>
    <xf numFmtId="177" fontId="1" fillId="0" borderId="0" xfId="0" applyNumberFormat="1" applyFont="1"/>
    <xf numFmtId="173" fontId="1" fillId="0" borderId="0" xfId="0" applyNumberFormat="1" applyFont="1" applyAlignment="1">
      <alignment horizontal="center"/>
    </xf>
    <xf numFmtId="164" fontId="0" fillId="0" borderId="0" xfId="0" applyNumberFormat="1" applyFont="1"/>
    <xf numFmtId="167" fontId="0" fillId="8" borderId="8" xfId="0" applyNumberFormat="1" applyFont="1" applyFill="1" applyBorder="1" applyAlignment="1">
      <alignment horizontal="center"/>
    </xf>
    <xf numFmtId="0" fontId="0" fillId="8" borderId="8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60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3" formatCode="&quot;₹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5" formatCode="00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2" formatCode="d/m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rgb="FF2A3E68"/>
          <bgColor rgb="FF2A3E6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none"/>
      </font>
      <fill>
        <patternFill patternType="solid">
          <fgColor rgb="FFF2F2F2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none"/>
      </font>
      <fill>
        <patternFill patternType="solid">
          <fgColor rgb="FFF2F2F2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none"/>
      </font>
      <fill>
        <patternFill patternType="solid">
          <fgColor rgb="FFF2F2F2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D9E2F3"/>
          <bgColor rgb="FFD9E2F3"/>
        </patternFill>
      </fill>
      <alignment horizontal="right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ck">
          <color rgb="FFACCCE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(&quot;$&quot;* #,##0.00_);_(&quot;$&quot;* \(#,##0.00\);_(&quot;$&quot;* &quot;-&quot;??_);_(@_)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dd\-mmm\-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9CC2E5"/>
          <bgColor rgb="FF9CC2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5" formatCode="00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2" formatCode="d/m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rgb="FF2A3E68"/>
          <bgColor rgb="FF2A3E6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none"/>
      </font>
      <fill>
        <patternFill patternType="solid">
          <fgColor rgb="FFF2F2F2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none"/>
      </font>
      <fill>
        <patternFill patternType="solid">
          <fgColor rgb="FFF2F2F2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none"/>
      </font>
      <fill>
        <patternFill patternType="solid">
          <fgColor rgb="FFF2F2F2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D9E2F3"/>
          <bgColor rgb="FFD9E2F3"/>
        </patternFill>
      </fill>
      <alignment horizontal="right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ck">
          <color rgb="FFACCCE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9CC2E5"/>
          <bgColor rgb="FF9CC2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(&quot;$&quot;* #,##0.00_);_(&quot;$&quot;* \(#,##0.00\);_(&quot;$&quot;* &quot;-&quot;??_);_(@_)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dd\-mmm\-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[Advanced_Excel_Business_Analytics.xlsm]Dashboard!PivotTable1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Dashboard!$A$5:$A$25</c:f>
              <c:strCache>
                <c:ptCount val="20"/>
                <c:pt idx="0">
                  <c:v>Bo</c:v>
                </c:pt>
                <c:pt idx="1">
                  <c:v>Bruno</c:v>
                </c:pt>
                <c:pt idx="2">
                  <c:v>Ed</c:v>
                </c:pt>
                <c:pt idx="3">
                  <c:v>Elon</c:v>
                </c:pt>
                <c:pt idx="4">
                  <c:v>Elvis</c:v>
                </c:pt>
                <c:pt idx="5">
                  <c:v>Henry</c:v>
                </c:pt>
                <c:pt idx="6">
                  <c:v>Homer</c:v>
                </c:pt>
                <c:pt idx="7">
                  <c:v>Juan</c:v>
                </c:pt>
                <c:pt idx="8">
                  <c:v>Oprah</c:v>
                </c:pt>
                <c:pt idx="9">
                  <c:v>Peyton</c:v>
                </c:pt>
                <c:pt idx="10">
                  <c:v>Rafael</c:v>
                </c:pt>
                <c:pt idx="11">
                  <c:v>Roger</c:v>
                </c:pt>
                <c:pt idx="12">
                  <c:v>Sam</c:v>
                </c:pt>
                <c:pt idx="13">
                  <c:v>Shohei</c:v>
                </c:pt>
                <c:pt idx="14">
                  <c:v>Sponge</c:v>
                </c:pt>
                <c:pt idx="15">
                  <c:v>Steve</c:v>
                </c:pt>
                <c:pt idx="16">
                  <c:v>Tom</c:v>
                </c:pt>
                <c:pt idx="17">
                  <c:v>Walt</c:v>
                </c:pt>
                <c:pt idx="18">
                  <c:v>Warren</c:v>
                </c:pt>
                <c:pt idx="19">
                  <c:v>Deepak</c:v>
                </c:pt>
              </c:strCache>
            </c:strRef>
          </c:cat>
          <c:val>
            <c:numRef>
              <c:f>Dashboard!$B$5:$B$25</c:f>
              <c:numCache>
                <c:formatCode>General</c:formatCode>
                <c:ptCount val="20"/>
                <c:pt idx="0">
                  <c:v>780</c:v>
                </c:pt>
                <c:pt idx="1">
                  <c:v>880</c:v>
                </c:pt>
                <c:pt idx="2">
                  <c:v>910</c:v>
                </c:pt>
                <c:pt idx="3">
                  <c:v>630</c:v>
                </c:pt>
                <c:pt idx="4">
                  <c:v>710</c:v>
                </c:pt>
                <c:pt idx="5">
                  <c:v>510</c:v>
                </c:pt>
                <c:pt idx="6">
                  <c:v>540</c:v>
                </c:pt>
                <c:pt idx="7">
                  <c:v>630</c:v>
                </c:pt>
                <c:pt idx="8">
                  <c:v>680</c:v>
                </c:pt>
                <c:pt idx="9">
                  <c:v>567</c:v>
                </c:pt>
                <c:pt idx="10">
                  <c:v>800</c:v>
                </c:pt>
                <c:pt idx="11">
                  <c:v>660</c:v>
                </c:pt>
                <c:pt idx="12">
                  <c:v>550</c:v>
                </c:pt>
                <c:pt idx="13">
                  <c:v>810</c:v>
                </c:pt>
                <c:pt idx="14">
                  <c:v>290</c:v>
                </c:pt>
                <c:pt idx="15">
                  <c:v>880</c:v>
                </c:pt>
                <c:pt idx="16">
                  <c:v>750</c:v>
                </c:pt>
                <c:pt idx="17">
                  <c:v>880</c:v>
                </c:pt>
                <c:pt idx="18">
                  <c:v>800</c:v>
                </c:pt>
                <c:pt idx="19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D-432E-AB30-6CF8DEEE0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30078943"/>
        <c:axId val="1230081855"/>
        <c:axId val="0"/>
      </c:bar3DChart>
      <c:catAx>
        <c:axId val="12300789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081855"/>
        <c:crosses val="autoZero"/>
        <c:auto val="1"/>
        <c:lblAlgn val="ctr"/>
        <c:lblOffset val="100"/>
        <c:noMultiLvlLbl val="0"/>
      </c:catAx>
      <c:valAx>
        <c:axId val="1230081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078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[Advanced_Excel_Business_Analytics.xlsm]Dashboard!PivotTable4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2692038495188102E-2"/>
          <c:y val="0.24476633129192185"/>
          <c:w val="0.78645603674540687"/>
          <c:h val="0.5377438757655292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Dashboard!$B$28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Dashboard!$A$29:$A$36</c:f>
              <c:strCache>
                <c:ptCount val="7"/>
                <c:pt idx="0">
                  <c:v>AC</c:v>
                </c:pt>
                <c:pt idx="1">
                  <c:v>AD</c:v>
                </c:pt>
                <c:pt idx="2">
                  <c:v>AT</c:v>
                </c:pt>
                <c:pt idx="3">
                  <c:v>HR</c:v>
                </c:pt>
                <c:pt idx="4">
                  <c:v>MF</c:v>
                </c:pt>
                <c:pt idx="5">
                  <c:v>MK</c:v>
                </c:pt>
                <c:pt idx="6">
                  <c:v>BA</c:v>
                </c:pt>
              </c:strCache>
            </c:strRef>
          </c:cat>
          <c:val>
            <c:numRef>
              <c:f>Dashboard!$B$29:$B$36</c:f>
              <c:numCache>
                <c:formatCode>General</c:formatCode>
                <c:ptCount val="7"/>
                <c:pt idx="0">
                  <c:v>9.9428571428571413</c:v>
                </c:pt>
                <c:pt idx="1">
                  <c:v>12.17</c:v>
                </c:pt>
                <c:pt idx="2">
                  <c:v>11.824999999999999</c:v>
                </c:pt>
                <c:pt idx="3">
                  <c:v>10.408333333333333</c:v>
                </c:pt>
                <c:pt idx="4">
                  <c:v>11.758333333333333</c:v>
                </c:pt>
                <c:pt idx="5">
                  <c:v>12.51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2-4667-9C8C-7A438112B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63737039"/>
        <c:axId val="1063741199"/>
        <c:axId val="0"/>
      </c:bar3DChart>
      <c:catAx>
        <c:axId val="106373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741199"/>
        <c:crosses val="autoZero"/>
        <c:auto val="1"/>
        <c:lblAlgn val="ctr"/>
        <c:lblOffset val="100"/>
        <c:noMultiLvlLbl val="0"/>
      </c:catAx>
      <c:valAx>
        <c:axId val="106374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73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Sum of Revenue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Sheet6!$G$11:$G$17</c:f>
              <c:strCache>
                <c:ptCount val="7"/>
                <c:pt idx="0">
                  <c:v>Product</c:v>
                </c:pt>
                <c:pt idx="1">
                  <c:v>Apples</c:v>
                </c:pt>
                <c:pt idx="2">
                  <c:v>Bananas</c:v>
                </c:pt>
                <c:pt idx="3">
                  <c:v>Grapes</c:v>
                </c:pt>
                <c:pt idx="4">
                  <c:v>Lemons</c:v>
                </c:pt>
                <c:pt idx="5">
                  <c:v>Oranges</c:v>
                </c:pt>
                <c:pt idx="6">
                  <c:v>Peaches</c:v>
                </c:pt>
              </c:strCache>
            </c:strRef>
          </c:cat>
          <c:val>
            <c:numRef>
              <c:f>Sheet6!$H$11:$H$17</c:f>
              <c:numCache>
                <c:formatCode>General</c:formatCode>
                <c:ptCount val="7"/>
                <c:pt idx="0">
                  <c:v>0</c:v>
                </c:pt>
                <c:pt idx="1">
                  <c:v>316700</c:v>
                </c:pt>
                <c:pt idx="2">
                  <c:v>197000</c:v>
                </c:pt>
                <c:pt idx="3">
                  <c:v>208500</c:v>
                </c:pt>
                <c:pt idx="4">
                  <c:v>237125</c:v>
                </c:pt>
                <c:pt idx="5">
                  <c:v>191000</c:v>
                </c:pt>
                <c:pt idx="6">
                  <c:v>195000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D7B-4D52-B3F9-07DA66051F00}"/>
            </c:ext>
          </c:extLst>
        </c:ser>
        <c:ser>
          <c:idx val="1"/>
          <c:order val="1"/>
          <c:tx>
            <c:v>Average of Profit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Sheet6!$G$11:$G$17</c:f>
              <c:strCache>
                <c:ptCount val="7"/>
                <c:pt idx="0">
                  <c:v>Product</c:v>
                </c:pt>
                <c:pt idx="1">
                  <c:v>Apples</c:v>
                </c:pt>
                <c:pt idx="2">
                  <c:v>Bananas</c:v>
                </c:pt>
                <c:pt idx="3">
                  <c:v>Grapes</c:v>
                </c:pt>
                <c:pt idx="4">
                  <c:v>Lemons</c:v>
                </c:pt>
                <c:pt idx="5">
                  <c:v>Oranges</c:v>
                </c:pt>
                <c:pt idx="6">
                  <c:v>Peaches</c:v>
                </c:pt>
              </c:strCache>
            </c:strRef>
          </c:cat>
          <c:val>
            <c:numRef>
              <c:f>Sheet6!$I$11:$I$17</c:f>
              <c:numCache>
                <c:formatCode>General</c:formatCode>
                <c:ptCount val="7"/>
                <c:pt idx="0">
                  <c:v>0</c:v>
                </c:pt>
                <c:pt idx="1">
                  <c:v>32310</c:v>
                </c:pt>
                <c:pt idx="2">
                  <c:v>20140</c:v>
                </c:pt>
                <c:pt idx="3">
                  <c:v>28743.75</c:v>
                </c:pt>
                <c:pt idx="4">
                  <c:v>24401.25</c:v>
                </c:pt>
                <c:pt idx="5">
                  <c:v>19350</c:v>
                </c:pt>
                <c:pt idx="6">
                  <c:v>25125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2D7B-4D52-B3F9-07DA66051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762586"/>
        <c:axId val="1701470004"/>
      </c:barChart>
      <c:catAx>
        <c:axId val="8597625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01470004"/>
        <c:crosses val="autoZero"/>
        <c:auto val="1"/>
        <c:lblAlgn val="ctr"/>
        <c:lblOffset val="100"/>
        <c:noMultiLvlLbl val="1"/>
      </c:catAx>
      <c:valAx>
        <c:axId val="170147000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85976258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2</xdr:row>
      <xdr:rowOff>163830</xdr:rowOff>
    </xdr:from>
    <xdr:to>
      <xdr:col>6</xdr:col>
      <xdr:colOff>7620</xdr:colOff>
      <xdr:row>24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004D08-EBB7-4A0D-9E4F-FECDDEE489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26</xdr:row>
      <xdr:rowOff>3810</xdr:rowOff>
    </xdr:from>
    <xdr:to>
      <xdr:col>5</xdr:col>
      <xdr:colOff>1889760</xdr:colOff>
      <xdr:row>41</xdr:row>
      <xdr:rowOff>3810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99292B-BE93-4F4B-8D83-700C75423E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243840</xdr:colOff>
      <xdr:row>3</xdr:row>
      <xdr:rowOff>0</xdr:rowOff>
    </xdr:from>
    <xdr:to>
      <xdr:col>8</xdr:col>
      <xdr:colOff>190500</xdr:colOff>
      <xdr:row>4</xdr:row>
      <xdr:rowOff>60960</xdr:rowOff>
    </xdr:to>
    <xdr:sp macro="[0]!RefreshAll" textlink="">
      <xdr:nvSpPr>
        <xdr:cNvPr id="4" name="Rectangle 3">
          <a:extLst>
            <a:ext uri="{FF2B5EF4-FFF2-40B4-BE49-F238E27FC236}">
              <a16:creationId xmlns:a16="http://schemas.microsoft.com/office/drawing/2014/main" id="{715B7404-05E7-47FC-B14E-9C2474B3A520}"/>
            </a:ext>
          </a:extLst>
        </xdr:cNvPr>
        <xdr:cNvSpPr/>
      </xdr:nvSpPr>
      <xdr:spPr>
        <a:xfrm>
          <a:off x="7703820" y="548640"/>
          <a:ext cx="2049780" cy="2438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REFRESH</a:t>
          </a:r>
          <a:r>
            <a:rPr lang="en-IN" sz="1100" b="1" baseline="0"/>
            <a:t> ALL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6</xdr:col>
      <xdr:colOff>266700</xdr:colOff>
      <xdr:row>5</xdr:row>
      <xdr:rowOff>167640</xdr:rowOff>
    </xdr:from>
    <xdr:to>
      <xdr:col>8</xdr:col>
      <xdr:colOff>205740</xdr:colOff>
      <xdr:row>7</xdr:row>
      <xdr:rowOff>53340</xdr:rowOff>
    </xdr:to>
    <xdr:sp macro="[0]!AddNewSale" textlink="">
      <xdr:nvSpPr>
        <xdr:cNvPr id="5" name="Rectangle 4">
          <a:extLst>
            <a:ext uri="{FF2B5EF4-FFF2-40B4-BE49-F238E27FC236}">
              <a16:creationId xmlns:a16="http://schemas.microsoft.com/office/drawing/2014/main" id="{96EBB505-75BF-49DE-B6E5-9295332A1B65}"/>
            </a:ext>
          </a:extLst>
        </xdr:cNvPr>
        <xdr:cNvSpPr/>
      </xdr:nvSpPr>
      <xdr:spPr>
        <a:xfrm>
          <a:off x="7726680" y="1082040"/>
          <a:ext cx="2042160" cy="251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Sales</a:t>
          </a:r>
        </a:p>
      </xdr:txBody>
    </xdr:sp>
    <xdr:clientData/>
  </xdr:twoCellAnchor>
  <xdr:twoCellAnchor>
    <xdr:from>
      <xdr:col>6</xdr:col>
      <xdr:colOff>289560</xdr:colOff>
      <xdr:row>9</xdr:row>
      <xdr:rowOff>30480</xdr:rowOff>
    </xdr:from>
    <xdr:to>
      <xdr:col>8</xdr:col>
      <xdr:colOff>198120</xdr:colOff>
      <xdr:row>10</xdr:row>
      <xdr:rowOff>121920</xdr:rowOff>
    </xdr:to>
    <xdr:sp macro="[0]!AddNewEmployee" textlink="">
      <xdr:nvSpPr>
        <xdr:cNvPr id="6" name="Rectangle 5">
          <a:extLst>
            <a:ext uri="{FF2B5EF4-FFF2-40B4-BE49-F238E27FC236}">
              <a16:creationId xmlns:a16="http://schemas.microsoft.com/office/drawing/2014/main" id="{C8F1C89D-DAF4-49B9-810E-8D08E814EBF7}"/>
            </a:ext>
          </a:extLst>
        </xdr:cNvPr>
        <xdr:cNvSpPr/>
      </xdr:nvSpPr>
      <xdr:spPr>
        <a:xfrm>
          <a:off x="7749540" y="1676400"/>
          <a:ext cx="2011680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Employee</a:t>
          </a:r>
        </a:p>
      </xdr:txBody>
    </xdr:sp>
    <xdr:clientData/>
  </xdr:twoCellAnchor>
  <xdr:twoCellAnchor>
    <xdr:from>
      <xdr:col>6</xdr:col>
      <xdr:colOff>297180</xdr:colOff>
      <xdr:row>11</xdr:row>
      <xdr:rowOff>152400</xdr:rowOff>
    </xdr:from>
    <xdr:to>
      <xdr:col>8</xdr:col>
      <xdr:colOff>182880</xdr:colOff>
      <xdr:row>13</xdr:row>
      <xdr:rowOff>129540</xdr:rowOff>
    </xdr:to>
    <xdr:sp macro="[0]!UpdateSaleRecord" textlink="">
      <xdr:nvSpPr>
        <xdr:cNvPr id="7" name="Rectangle 6">
          <a:extLst>
            <a:ext uri="{FF2B5EF4-FFF2-40B4-BE49-F238E27FC236}">
              <a16:creationId xmlns:a16="http://schemas.microsoft.com/office/drawing/2014/main" id="{6041C104-52EC-4A5D-A86B-B3FE7F866A88}"/>
            </a:ext>
          </a:extLst>
        </xdr:cNvPr>
        <xdr:cNvSpPr/>
      </xdr:nvSpPr>
      <xdr:spPr>
        <a:xfrm>
          <a:off x="7559040" y="2164080"/>
          <a:ext cx="198882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 Sales Data</a:t>
          </a:r>
        </a:p>
        <a:p>
          <a:pPr algn="l"/>
          <a:endParaRPr lang="en-IN" sz="1100"/>
        </a:p>
      </xdr:txBody>
    </xdr:sp>
    <xdr:clientData/>
  </xdr:twoCellAnchor>
  <xdr:twoCellAnchor>
    <xdr:from>
      <xdr:col>6</xdr:col>
      <xdr:colOff>289560</xdr:colOff>
      <xdr:row>14</xdr:row>
      <xdr:rowOff>167640</xdr:rowOff>
    </xdr:from>
    <xdr:to>
      <xdr:col>8</xdr:col>
      <xdr:colOff>175260</xdr:colOff>
      <xdr:row>16</xdr:row>
      <xdr:rowOff>160020</xdr:rowOff>
    </xdr:to>
    <xdr:sp macro="[0]!UpdateEmployeeRecord" textlink="">
      <xdr:nvSpPr>
        <xdr:cNvPr id="8" name="Rectangle 7">
          <a:extLst>
            <a:ext uri="{FF2B5EF4-FFF2-40B4-BE49-F238E27FC236}">
              <a16:creationId xmlns:a16="http://schemas.microsoft.com/office/drawing/2014/main" id="{3D4C481D-7C61-46B1-9C0F-039FE5F48AD1}"/>
            </a:ext>
          </a:extLst>
        </xdr:cNvPr>
        <xdr:cNvSpPr/>
      </xdr:nvSpPr>
      <xdr:spPr>
        <a:xfrm>
          <a:off x="7551420" y="2727960"/>
          <a:ext cx="198882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 Employee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542925</xdr:colOff>
      <xdr:row>1</xdr:row>
      <xdr:rowOff>114300</xdr:rowOff>
    </xdr:from>
    <xdr:ext cx="3609975" cy="10953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545775" y="3237075"/>
          <a:ext cx="3600450" cy="1085850"/>
        </a:xfrm>
        <a:prstGeom prst="roundRect">
          <a:avLst>
            <a:gd name="adj" fmla="val 16667"/>
          </a:avLst>
        </a:prstGeom>
        <a:solidFill>
          <a:schemeClr val="l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400"/>
            <a:buFont typeface="Calibri"/>
            <a:buNone/>
          </a:pPr>
          <a:r>
            <a:rPr lang="en-US" sz="14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USE SHEET16 , SHEET17 AND SHEET18 AND MAKE THE SUM OF CONSOLIDATION IN THIS PAGE </a:t>
          </a:r>
          <a:endParaRPr sz="1400" b="1">
            <a:solidFill>
              <a:srgbClr val="000000"/>
            </a:solidFill>
          </a:endParaRPr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447675</xdr:colOff>
      <xdr:row>3</xdr:row>
      <xdr:rowOff>76200</xdr:rowOff>
    </xdr:from>
    <xdr:ext cx="3867150" cy="1819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417188" y="2875125"/>
          <a:ext cx="3857625" cy="1809750"/>
        </a:xfrm>
        <a:prstGeom prst="rect">
          <a:avLst/>
        </a:prstGeom>
        <a:solidFill>
          <a:srgbClr val="D5DBE5"/>
        </a:solidFill>
        <a:ln>
          <a:noFill/>
        </a:ln>
        <a:effectLst>
          <a:outerShdw blurRad="50800" dist="38100" dir="2700000" algn="tl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sng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INSTRUCTIONS: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sng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600"/>
            <a:buFont typeface="Calibri"/>
            <a:buNone/>
          </a:pPr>
          <a:r>
            <a:rPr lang="en-US" sz="1600" b="1" u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Using Text to Column Extract in different columns product Id,Product Category,Product Size,New key and City from Product key?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390525</xdr:colOff>
      <xdr:row>5</xdr:row>
      <xdr:rowOff>66675</xdr:rowOff>
    </xdr:from>
    <xdr:ext cx="4191000" cy="170497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255263" y="2932275"/>
          <a:ext cx="4181475" cy="1695450"/>
        </a:xfrm>
        <a:prstGeom prst="roundRect">
          <a:avLst>
            <a:gd name="adj" fmla="val 16667"/>
          </a:avLst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200"/>
            <a:buFont typeface="Calibri"/>
            <a:buNone/>
          </a:pPr>
          <a:r>
            <a:rPr lang="en-US" sz="12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Q 12 . DATA CLEANING AND FREEZE COLUMN NAME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 b="1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200"/>
            <a:buFont typeface="Calibri"/>
            <a:buNone/>
          </a:pPr>
          <a:r>
            <a:rPr lang="en-US" sz="12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 . CHECK 1ST ROW OF DATA AND CONVERT ALL OTHER ROWS OF DATA LIKE THE 1ST ROW OF DATA.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 b="1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200"/>
            <a:buFont typeface="Calibri"/>
            <a:buNone/>
          </a:pPr>
          <a:r>
            <a:rPr lang="en-US" sz="12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2 . FREEZE THE FIRST ROW.</a:t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352425</xdr:colOff>
      <xdr:row>11</xdr:row>
      <xdr:rowOff>28575</xdr:rowOff>
    </xdr:from>
    <xdr:ext cx="10172700" cy="203835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64413" y="2765588"/>
          <a:ext cx="10163175" cy="2028825"/>
        </a:xfrm>
        <a:prstGeom prst="rect">
          <a:avLst/>
        </a:prstGeom>
        <a:solidFill>
          <a:srgbClr val="D5DBE5"/>
        </a:solidFill>
        <a:ln>
          <a:noFill/>
        </a:ln>
        <a:effectLst>
          <a:outerShdw blurRad="50800" dist="38100" dir="2700000" algn="tl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sng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Q11 . INSTRUCTIONS: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sng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1) Calculate the maximum 2016 Sales (column E) in the New York office.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b="1" u="none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2) Calculate the maximum 2016 Sales in the New York office, </a:t>
          </a:r>
          <a:r>
            <a:rPr lang="en-US" sz="1100" b="0" i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for the Electronics department only.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b="0" i="0" u="none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0" i="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3) Calculate the SUM of 2015 and 2016 sales for the Boston office.</a:t>
          </a:r>
          <a:endParaRPr sz="14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9525</xdr:colOff>
      <xdr:row>8</xdr:row>
      <xdr:rowOff>152400</xdr:rowOff>
    </xdr:from>
    <xdr:ext cx="5429250" cy="27432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57150</xdr:colOff>
      <xdr:row>1</xdr:row>
      <xdr:rowOff>95250</xdr:rowOff>
    </xdr:from>
    <xdr:ext cx="3867150" cy="3705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3417188" y="1932150"/>
          <a:ext cx="3857625" cy="3695700"/>
        </a:xfrm>
        <a:prstGeom prst="rect">
          <a:avLst/>
        </a:prstGeom>
        <a:solidFill>
          <a:srgbClr val="D5DBE5"/>
        </a:solidFill>
        <a:ln>
          <a:noFill/>
        </a:ln>
        <a:effectLst>
          <a:outerShdw blurRad="50800" dist="38100" dir="2700000" algn="tl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sng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Q3 INSTRUCTIONS: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sng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1) Populate column D to return "PASS" if the score in column C is greater than or equal to 60, otherwise return "FAIL"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none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2) Populate column E to return a letter grade based on the score in column C, using the logic below: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none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= &gt;=90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= 80-89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C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= 70-79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D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= 60-69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F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= &lt;60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none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3) Populate column G to return "Male Achiever" if Gender = M and the score in column C is &gt;95, "Female Achiever" if Gender = F and the score in column C is &gt;95, otherwise "None"</a:t>
          </a:r>
          <a:endParaRPr sz="1400"/>
        </a:p>
      </xdr:txBody>
    </xdr: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</xdr:row>
      <xdr:rowOff>0</xdr:rowOff>
    </xdr:from>
    <xdr:ext cx="4095750" cy="12763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3302888" y="3146588"/>
          <a:ext cx="4086225" cy="1266825"/>
        </a:xfrm>
        <a:prstGeom prst="rect">
          <a:avLst/>
        </a:prstGeom>
        <a:solidFill>
          <a:srgbClr val="D5DBE5"/>
        </a:solidFill>
        <a:ln>
          <a:noFill/>
        </a:ln>
        <a:effectLst>
          <a:outerShdw blurRad="50800" dist="38100" dir="2700000" algn="tl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sng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Q4 INSTRUCTIONS: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sng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400"/>
            <a:buFont typeface="Calibri"/>
            <a:buNone/>
          </a:pPr>
          <a:r>
            <a:rPr lang="en-US" sz="14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Add new columns of sales per call and leads per call in percentage?</a:t>
          </a:r>
          <a:endParaRPr sz="1400"/>
        </a:p>
      </xdr:txBody>
    </xdr: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5</xdr:row>
      <xdr:rowOff>0</xdr:rowOff>
    </xdr:from>
    <xdr:ext cx="5238750" cy="187642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2731388" y="2846550"/>
          <a:ext cx="5229225" cy="1866900"/>
        </a:xfrm>
        <a:prstGeom prst="rect">
          <a:avLst/>
        </a:prstGeom>
        <a:solidFill>
          <a:srgbClr val="D5DBE5"/>
        </a:solidFill>
        <a:ln>
          <a:noFill/>
        </a:ln>
        <a:effectLst>
          <a:outerShdw blurRad="50800" dist="38100" dir="2700000" algn="tl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1" u="sng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Q2 INSTRUCTIONS: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sng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1) Format the </a:t>
          </a:r>
          <a:r>
            <a:rPr lang="en-US" sz="1100" i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Revenue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column as currency, with no decimal places, and use the </a:t>
          </a:r>
          <a:r>
            <a:rPr lang="en-US" sz="1100" b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format painter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to apply the same formatting to columns </a:t>
          </a:r>
          <a:r>
            <a:rPr lang="en-US" sz="1100" b="0" i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C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, </a:t>
          </a:r>
          <a:r>
            <a:rPr lang="en-US" sz="1100" b="0" i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D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, and </a:t>
          </a:r>
          <a:r>
            <a:rPr lang="en-US" sz="1100" b="0" i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E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none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2) Format the </a:t>
          </a:r>
          <a:r>
            <a:rPr lang="en-US" sz="1100" i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Profit Margin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column as a percent, with 1 decimal place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u="none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3) Use </a:t>
          </a:r>
          <a:r>
            <a:rPr lang="en-US" sz="1100" b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conditional formatting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to add a color scale to the </a:t>
          </a:r>
          <a:r>
            <a:rPr lang="en-US" sz="1100" i="1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Profit Margin</a:t>
          </a:r>
          <a:r>
            <a:rPr lang="en-US" sz="1100" u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column (low values = red, high values = green)</a:t>
          </a:r>
          <a:endParaRPr sz="1400"/>
        </a:p>
      </xdr:txBody>
    </xdr:sp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epak Nepram" refreshedDate="46164.53619953704" createdVersion="7" refreshedVersion="7" minRefreshableVersion="3" recordCount="20" xr:uid="{9F3824E3-91DD-4AAF-89A8-48AA335C4B86}">
  <cacheSource type="worksheet">
    <worksheetSource name="tblSales"/>
  </cacheSource>
  <cacheFields count="5">
    <cacheField name="Date" numFmtId="172">
      <sharedItems containsSemiMixedTypes="0" containsNonDate="0" containsDate="1" containsString="0" minDate="2020-02-09T00:00:00" maxDate="2026-05-23T00:00:00"/>
    </cacheField>
    <cacheField name="Order ID" numFmtId="175">
      <sharedItems containsSemiMixedTypes="0" containsString="0" containsNumber="1" containsInteger="1" minValue="1002" maxValue="1199"/>
    </cacheField>
    <cacheField name="First" numFmtId="0">
      <sharedItems count="20">
        <s v="Sponge"/>
        <s v="Homer"/>
        <s v="Elon"/>
        <s v="Steve"/>
        <s v="Warren"/>
        <s v="Tom"/>
        <s v="Peyton"/>
        <s v="Roger"/>
        <s v="Rafael"/>
        <s v="Sam"/>
        <s v="Ed"/>
        <s v="Bruno"/>
        <s v="Elvis"/>
        <s v="Oprah"/>
        <s v="Walt"/>
        <s v="Henry"/>
        <s v="Shohei"/>
        <s v="Juan"/>
        <s v="Bo"/>
        <s v="Deepak"/>
      </sharedItems>
    </cacheField>
    <cacheField name="Last" numFmtId="0">
      <sharedItems/>
    </cacheField>
    <cacheField name="Purchase" numFmtId="173">
      <sharedItems containsSemiMixedTypes="0" containsString="0" containsNumber="1" containsInteger="1" minValue="29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eepak Nepram" refreshedDate="46164.536199652779" refreshedVersion="7" recordCount="28" xr:uid="{00000000-000A-0000-FFFF-FFFF00000000}">
  <cacheSource type="worksheet">
    <worksheetSource ref="B5:E33" sheet="Sheet6"/>
  </cacheSource>
  <cacheFields count="4">
    <cacheField name="ID Number" numFmtId="0">
      <sharedItems containsSemiMixedTypes="0" containsString="0" containsNumber="1" containsInteger="1" minValue="1185" maxValue="1212"/>
    </cacheField>
    <cacheField name="Product" numFmtId="0">
      <sharedItems count="6">
        <s v="Apples"/>
        <s v="Lemons"/>
        <s v="Bananas"/>
        <s v="Oranges"/>
        <s v="Grapes"/>
        <s v="Peaches"/>
      </sharedItems>
    </cacheField>
    <cacheField name="Revenue" numFmtId="171">
      <sharedItems containsSemiMixedTypes="0" containsString="0" containsNumber="1" minValue="36000" maxValue="73200"/>
    </cacheField>
    <cacheField name="Profit" numFmtId="171">
      <sharedItems containsSemiMixedTypes="0" containsString="0" containsNumber="1" minValue="13300" maxValue="39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epak Nepram" refreshedDate="46164.536199884256" createdVersion="7" refreshedVersion="7" minRefreshableVersion="3" recordCount="38" xr:uid="{A8A72179-1B0C-42A1-957F-D1E5B6483D9A}">
  <cacheSource type="worksheet">
    <worksheetSource name="tblHR"/>
  </cacheSource>
  <cacheFields count="9">
    <cacheField name="Emp ID" numFmtId="0">
      <sharedItems containsSemiMixedTypes="0" containsString="0" containsNumber="1" containsInteger="1" minValue="43" maxValue="2006"/>
    </cacheField>
    <cacheField name="Last Name" numFmtId="0">
      <sharedItems/>
    </cacheField>
    <cacheField name="First Name" numFmtId="0">
      <sharedItems/>
    </cacheField>
    <cacheField name="Dept" numFmtId="0">
      <sharedItems count="7">
        <s v="AT"/>
        <s v="AD"/>
        <s v="AC"/>
        <s v="HR"/>
        <s v="MK"/>
        <s v="MF"/>
        <s v="BA"/>
      </sharedItems>
    </cacheField>
    <cacheField name="E-mail" numFmtId="0">
      <sharedItems/>
    </cacheField>
    <cacheField name="Phone Ext" numFmtId="0">
      <sharedItems containsSemiMixedTypes="0" containsString="0" containsNumber="1" containsInteger="1" minValue="91" maxValue="428"/>
    </cacheField>
    <cacheField name="Location" numFmtId="0">
      <sharedItems/>
    </cacheField>
    <cacheField name="Hire Date" numFmtId="165">
      <sharedItems containsSemiMixedTypes="0" containsNonDate="0" containsDate="1" containsString="0" minDate="1991-02-10T06:00:00" maxDate="2026-05-23T00:00:00"/>
    </cacheField>
    <cacheField name="Pay Rate" numFmtId="166">
      <sharedItems containsSemiMixedTypes="0" containsString="0" containsNumber="1" minValue="9.2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d v="2020-02-09T00:00:00"/>
    <n v="1002"/>
    <x v="0"/>
    <s v="Bob"/>
    <n v="290"/>
  </r>
  <r>
    <d v="2020-02-10T00:00:00"/>
    <n v="1003"/>
    <x v="1"/>
    <s v="Simp"/>
    <n v="540"/>
  </r>
  <r>
    <d v="2020-02-11T00:00:00"/>
    <n v="1004"/>
    <x v="2"/>
    <s v="Jobs"/>
    <n v="630"/>
  </r>
  <r>
    <d v="2020-02-12T00:00:00"/>
    <n v="1005"/>
    <x v="3"/>
    <s v="Musk"/>
    <n v="880"/>
  </r>
  <r>
    <d v="2020-02-13T00:00:00"/>
    <n v="1006"/>
    <x v="4"/>
    <s v="Munger"/>
    <n v="800"/>
  </r>
  <r>
    <d v="2020-02-17T00:00:00"/>
    <n v="1010"/>
    <x v="5"/>
    <s v="Manning"/>
    <n v="750"/>
  </r>
  <r>
    <d v="2020-02-18T00:00:00"/>
    <n v="1011"/>
    <x v="6"/>
    <s v="Brady"/>
    <n v="567"/>
  </r>
  <r>
    <d v="2020-02-21T00:00:00"/>
    <n v="1014"/>
    <x v="7"/>
    <s v="Nadal"/>
    <n v="660"/>
  </r>
  <r>
    <d v="2020-02-22T00:00:00"/>
    <n v="1015"/>
    <x v="8"/>
    <s v="Federer"/>
    <n v="800"/>
  </r>
  <r>
    <d v="2020-02-23T00:00:00"/>
    <n v="1016"/>
    <x v="9"/>
    <s v="Smith"/>
    <n v="550"/>
  </r>
  <r>
    <d v="2020-02-24T00:00:00"/>
    <n v="1017"/>
    <x v="10"/>
    <s v="Mars"/>
    <n v="910"/>
  </r>
  <r>
    <d v="2020-02-25T00:00:00"/>
    <n v="1018"/>
    <x v="11"/>
    <s v="Sheeran"/>
    <n v="880"/>
  </r>
  <r>
    <d v="2020-02-26T00:00:00"/>
    <n v="1019"/>
    <x v="12"/>
    <s v="Einstein"/>
    <n v="710"/>
  </r>
  <r>
    <d v="2020-02-28T00:00:00"/>
    <n v="1021"/>
    <x v="13"/>
    <s v="Obama"/>
    <n v="680"/>
  </r>
  <r>
    <d v="2020-02-29T00:00:00"/>
    <n v="1022"/>
    <x v="14"/>
    <s v="Ford"/>
    <n v="880"/>
  </r>
  <r>
    <d v="2020-03-01T00:00:00"/>
    <n v="1023"/>
    <x v="15"/>
    <s v="Disney"/>
    <n v="510"/>
  </r>
  <r>
    <d v="2021-09-06T00:00:00"/>
    <n v="1024"/>
    <x v="16"/>
    <s v="Soto"/>
    <n v="810"/>
  </r>
  <r>
    <d v="2021-09-24T00:00:00"/>
    <n v="1025"/>
    <x v="17"/>
    <s v="Ohtani"/>
    <n v="630"/>
  </r>
  <r>
    <d v="2021-12-23T00:00:00"/>
    <n v="1030"/>
    <x v="18"/>
    <s v="Rogan"/>
    <n v="780"/>
  </r>
  <r>
    <d v="2026-05-22T00:00:00"/>
    <n v="1199"/>
    <x v="19"/>
    <s v="Nepram"/>
    <n v="1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n v="1185"/>
    <x v="0"/>
    <n v="60000"/>
    <n v="39000"/>
  </r>
  <r>
    <n v="1186"/>
    <x v="1"/>
    <n v="50000"/>
    <n v="30000"/>
  </r>
  <r>
    <n v="1187"/>
    <x v="2"/>
    <n v="40000"/>
    <n v="18000"/>
  </r>
  <r>
    <n v="1188"/>
    <x v="3"/>
    <n v="38250"/>
    <n v="13387.5"/>
  </r>
  <r>
    <n v="1189"/>
    <x v="4"/>
    <n v="54000"/>
    <n v="27000"/>
  </r>
  <r>
    <n v="1190"/>
    <x v="5"/>
    <n v="50000"/>
    <n v="32500"/>
  </r>
  <r>
    <n v="1191"/>
    <x v="0"/>
    <n v="62500"/>
    <n v="37500"/>
  </r>
  <r>
    <n v="1192"/>
    <x v="1"/>
    <n v="45000"/>
    <n v="20249.999999999996"/>
  </r>
  <r>
    <n v="1193"/>
    <x v="2"/>
    <n v="38000"/>
    <n v="13300"/>
  </r>
  <r>
    <n v="1194"/>
    <x v="3"/>
    <n v="37125"/>
    <n v="18562.5"/>
  </r>
  <r>
    <n v="1195"/>
    <x v="4"/>
    <n v="54000"/>
    <n v="35100"/>
  </r>
  <r>
    <n v="1196"/>
    <x v="5"/>
    <n v="50000"/>
    <n v="30000"/>
  </r>
  <r>
    <n v="1197"/>
    <x v="0"/>
    <n v="61000"/>
    <n v="27450"/>
  </r>
  <r>
    <n v="1198"/>
    <x v="1"/>
    <n v="46250"/>
    <n v="16187.5"/>
  </r>
  <r>
    <n v="1199"/>
    <x v="2"/>
    <n v="38000"/>
    <n v="19000"/>
  </r>
  <r>
    <n v="1200"/>
    <x v="3"/>
    <n v="36000"/>
    <n v="23400"/>
  </r>
  <r>
    <n v="1201"/>
    <x v="4"/>
    <n v="51000"/>
    <n v="30600"/>
  </r>
  <r>
    <n v="1202"/>
    <x v="5"/>
    <n v="47500"/>
    <n v="21374.999999999996"/>
  </r>
  <r>
    <n v="1203"/>
    <x v="0"/>
    <n v="60000"/>
    <n v="21000"/>
  </r>
  <r>
    <n v="1204"/>
    <x v="1"/>
    <n v="45000"/>
    <n v="22500"/>
  </r>
  <r>
    <n v="1205"/>
    <x v="2"/>
    <n v="36000"/>
    <n v="23400"/>
  </r>
  <r>
    <n v="1206"/>
    <x v="3"/>
    <n v="37125"/>
    <n v="22275"/>
  </r>
  <r>
    <n v="1207"/>
    <x v="4"/>
    <n v="49500"/>
    <n v="22274.999999999996"/>
  </r>
  <r>
    <n v="1208"/>
    <x v="5"/>
    <n v="47500"/>
    <n v="16625"/>
  </r>
  <r>
    <n v="1209"/>
    <x v="0"/>
    <n v="73200"/>
    <n v="36600"/>
  </r>
  <r>
    <n v="1210"/>
    <x v="1"/>
    <n v="50875.000000000007"/>
    <n v="33068.750000000007"/>
  </r>
  <r>
    <n v="1211"/>
    <x v="2"/>
    <n v="45000"/>
    <n v="27000"/>
  </r>
  <r>
    <n v="1212"/>
    <x v="3"/>
    <n v="42500"/>
    <n v="19124.99999999999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054"/>
    <s v="Smith"/>
    <s v="Howard"/>
    <x v="0"/>
    <s v="howards"/>
    <n v="148"/>
    <s v="Building 1"/>
    <d v="2004-04-15T06:00:00"/>
    <n v="11.25"/>
  </r>
  <r>
    <n v="1056"/>
    <s v="Gonzales"/>
    <s v="Joe"/>
    <x v="0"/>
    <s v="joeg"/>
    <n v="121"/>
    <s v="Building 1"/>
    <d v="1992-10-24T06:00:00"/>
    <n v="12.25"/>
  </r>
  <r>
    <n v="1067"/>
    <s v="Scote"/>
    <s v="Gail"/>
    <x v="0"/>
    <s v="gails"/>
    <n v="123"/>
    <s v="Building 1"/>
    <d v="2000-09-19T06:00:00"/>
    <n v="14.55"/>
  </r>
  <r>
    <n v="1075"/>
    <s v="Kane"/>
    <s v="Sheryl"/>
    <x v="1"/>
    <s v="sherylk"/>
    <n v="126"/>
    <s v="Building 2"/>
    <d v="2005-08-07T06:00:00"/>
    <n v="11.25"/>
  </r>
  <r>
    <n v="1078"/>
    <s v="Hapsbuch"/>
    <s v="Kendrick"/>
    <x v="2"/>
    <s v="kendrickh"/>
    <n v="101"/>
    <s v="Building 2"/>
    <d v="1999-04-01T06:00:00"/>
    <n v="10.199999999999999"/>
  </r>
  <r>
    <n v="1152"/>
    <s v="Henders"/>
    <s v="Mark"/>
    <x v="1"/>
    <s v="markh"/>
    <n v="118"/>
    <s v="Building 2"/>
    <d v="2003-01-21T06:00:00"/>
    <n v="12.25"/>
  </r>
  <r>
    <n v="1196"/>
    <s v="Atherton"/>
    <s v="Katie"/>
    <x v="3"/>
    <s v="katiea"/>
    <n v="289"/>
    <s v="Building 3"/>
    <d v="2011-04-01T06:00:00"/>
    <n v="9.9499999999999993"/>
  </r>
  <r>
    <n v="1284"/>
    <s v="Bellwood"/>
    <s v="Frank"/>
    <x v="4"/>
    <s v="frankb"/>
    <n v="124"/>
    <s v="Building 1"/>
    <d v="1998-01-04T06:00:00"/>
    <n v="12.3"/>
  </r>
  <r>
    <n v="1290"/>
    <s v="Cooper"/>
    <s v="Linda"/>
    <x v="1"/>
    <s v="lindac"/>
    <n v="113"/>
    <s v="Building 2"/>
    <d v="1998-01-03T06:00:00"/>
    <n v="13.25"/>
  </r>
  <r>
    <n v="1293"/>
    <s v="Cronwith"/>
    <s v="Brent"/>
    <x v="3"/>
    <s v="brentc"/>
    <n v="205"/>
    <s v="Building 3"/>
    <d v="1997-09-14T06:00:00"/>
    <n v="10.199999999999999"/>
  </r>
  <r>
    <n v="1299"/>
    <s v="Simpson"/>
    <s v="Sandrae"/>
    <x v="5"/>
    <s v="sandraes"/>
    <n v="127"/>
    <s v="Building 1"/>
    <d v="2002-12-21T06:00:00"/>
    <n v="12.2"/>
  </r>
  <r>
    <n v="1302"/>
    <s v="Smith"/>
    <s v="Randy"/>
    <x v="4"/>
    <s v="randys"/>
    <n v="139"/>
    <s v="Building 1"/>
    <d v="1997-08-06T06:00:00"/>
    <n v="14.25"/>
  </r>
  <r>
    <n v="1310"/>
    <s v="Smith"/>
    <s v="Ellen"/>
    <x v="5"/>
    <s v="ellens"/>
    <n v="137"/>
    <s v="Building 1"/>
    <d v="1999-10-04T06:00:00"/>
    <n v="11.5"/>
  </r>
  <r>
    <n v="1329"/>
    <s v="Vuanuo"/>
    <s v="Tuome"/>
    <x v="2"/>
    <s v="tuomev"/>
    <n v="151"/>
    <s v="Building 2"/>
    <d v="2002-02-22T06:00:00"/>
    <n v="10.35"/>
  </r>
  <r>
    <n v="1333"/>
    <s v="Szcznyck"/>
    <s v="Tadeuz"/>
    <x v="3"/>
    <s v="tadeuzs"/>
    <n v="122"/>
    <s v="Building 3"/>
    <d v="2003-04-16T06:00:00"/>
    <n v="10.15"/>
  </r>
  <r>
    <n v="1368"/>
    <s v="Wu"/>
    <s v="Tammy"/>
    <x v="1"/>
    <s v="tammyw"/>
    <n v="132"/>
    <s v="Building 2"/>
    <d v="1996-03-10T06:00:00"/>
    <n v="12.25"/>
  </r>
  <r>
    <n v="1509"/>
    <s v="Miller"/>
    <s v="Pam"/>
    <x v="0"/>
    <s v="pamk"/>
    <n v="135"/>
    <s v="Building 1"/>
    <d v="1998-06-19T06:00:00"/>
    <n v="13.25"/>
  </r>
  <r>
    <n v="1516"/>
    <s v="Smith"/>
    <s v="Tom"/>
    <x v="2"/>
    <s v="tomb"/>
    <n v="105"/>
    <s v="Building 2"/>
    <d v="1998-03-06T06:00:00"/>
    <n v="9.5"/>
  </r>
  <r>
    <n v="1529"/>
    <s v="Kellerman"/>
    <s v="Tommie"/>
    <x v="4"/>
    <s v="tomk"/>
    <n v="129"/>
    <s v="Building 1"/>
    <d v="2000-01-28T06:00:00"/>
    <n v="11.3"/>
  </r>
  <r>
    <n v="1656"/>
    <s v="Kourios"/>
    <s v="Theo"/>
    <x v="5"/>
    <s v="theok"/>
    <n v="149"/>
    <s v="Building 1"/>
    <d v="2000-12-13T06:00:00"/>
    <n v="12.35"/>
  </r>
  <r>
    <n v="1672"/>
    <s v="Dixon-Waite"/>
    <s v="Sherrie"/>
    <x v="5"/>
    <s v="sherried"/>
    <n v="114"/>
    <s v="Building 1"/>
    <d v="2003-04-16T06:00:00"/>
    <n v="11.9"/>
  </r>
  <r>
    <n v="1673"/>
    <s v="Boughton"/>
    <s v="Frank"/>
    <x v="1"/>
    <s v="fboughton"/>
    <n v="112"/>
    <s v="Building 2"/>
    <d v="2005-03-25T06:00:00"/>
    <n v="11.85"/>
  </r>
  <r>
    <n v="1676"/>
    <s v="Miller"/>
    <s v="Janet"/>
    <x v="4"/>
    <s v="janetm"/>
    <n v="115"/>
    <s v="Building 1"/>
    <d v="1994-10-26T06:00:00"/>
    <n v="10.75"/>
  </r>
  <r>
    <n v="1721"/>
    <s v="Alstain"/>
    <s v="Isolde"/>
    <x v="3"/>
    <s v="isoldea"/>
    <n v="102"/>
    <s v="Building 3"/>
    <d v="2003-08-06T06:00:00"/>
    <n v="9.75"/>
  </r>
  <r>
    <n v="1723"/>
    <s v="Sammler"/>
    <s v="Mark"/>
    <x v="4"/>
    <s v="marks"/>
    <n v="145"/>
    <s v="Building 1"/>
    <d v="1991-02-10T06:00:00"/>
    <n v="13.95"/>
  </r>
  <r>
    <n v="1758"/>
    <s v="Brwyne"/>
    <s v="Melia"/>
    <x v="2"/>
    <s v="meliab"/>
    <n v="107"/>
    <s v="Building 2"/>
    <d v="1995-03-18T06:00:00"/>
    <n v="11.2"/>
  </r>
  <r>
    <n v="1792"/>
    <s v="Barton"/>
    <s v="Eileen"/>
    <x v="0"/>
    <s v="eileenb"/>
    <n v="111"/>
    <s v="Building 1"/>
    <d v="2003-12-24T06:00:00"/>
    <n v="10.3"/>
  </r>
  <r>
    <n v="1814"/>
    <s v="Al-Sabah"/>
    <s v="Daoud"/>
    <x v="3"/>
    <s v="daouda"/>
    <n v="103"/>
    <s v="Building 3"/>
    <d v="2002-03-04T06:00:00"/>
    <n v="12.25"/>
  </r>
  <r>
    <n v="1908"/>
    <s v="Zostoc"/>
    <s v="Melissa"/>
    <x v="0"/>
    <s v="melissaz"/>
    <n v="152"/>
    <s v="Building 1"/>
    <d v="1997-05-15T06:00:00"/>
    <n v="10.25"/>
  </r>
  <r>
    <n v="1931"/>
    <s v="Miller"/>
    <s v="Ursula"/>
    <x v="2"/>
    <s v="ursulam"/>
    <n v="110"/>
    <s v="Building 2"/>
    <d v="2002-06-20T06:00:00"/>
    <n v="9.85"/>
  </r>
  <r>
    <n v="1960"/>
    <s v="Fontaine"/>
    <s v="Jean"/>
    <x v="5"/>
    <s v="jeanf"/>
    <n v="150"/>
    <s v="Building 1"/>
    <d v="1999-11-13T06:00:00"/>
    <n v="11.65"/>
  </r>
  <r>
    <n v="1964"/>
    <s v="Corwick"/>
    <s v="Rob"/>
    <x v="2"/>
    <s v="robertc"/>
    <n v="108"/>
    <s v="Building 2"/>
    <d v="2004-11-16T06:00:00"/>
    <n v="9.25"/>
  </r>
  <r>
    <n v="1975"/>
    <s v="Smith"/>
    <s v="Larry"/>
    <x v="2"/>
    <s v="larryf"/>
    <n v="125"/>
    <s v="Building 2"/>
    <d v="2009-03-01T06:00:00"/>
    <n v="9.25"/>
  </r>
  <r>
    <n v="1983"/>
    <s v="Corwick"/>
    <s v="Judy"/>
    <x v="0"/>
    <s v="judyc"/>
    <n v="154"/>
    <s v="Building 1"/>
    <d v="2010-06-28T06:00:00"/>
    <n v="11"/>
  </r>
  <r>
    <n v="1990"/>
    <s v="Chang"/>
    <s v="Jessica"/>
    <x v="5"/>
    <s v="jessc"/>
    <n v="198"/>
    <s v="Building 1"/>
    <d v="2011-02-14T06:00:00"/>
    <n v="10.95"/>
  </r>
  <r>
    <n v="1995"/>
    <s v="Miller"/>
    <s v="Maria"/>
    <x v="0"/>
    <s v="mariam"/>
    <n v="198"/>
    <s v="Building 1"/>
    <d v="2011-03-01T06:00:00"/>
    <n v="11.75"/>
  </r>
  <r>
    <n v="2006"/>
    <s v="Atherly"/>
    <s v="Katherine"/>
    <x v="3"/>
    <s v="kathya"/>
    <n v="428"/>
    <s v="Building 3"/>
    <d v="2011-07-05T06:00:00"/>
    <n v="10.15"/>
  </r>
  <r>
    <n v="43"/>
    <s v="Nepram"/>
    <s v="Deepak"/>
    <x v="6"/>
    <s v="dpknepram26@gmail.com"/>
    <n v="91"/>
    <s v="Bangalore"/>
    <d v="2026-05-22T00:00:0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810646-A00A-4B85-8413-83ACF65FB658}" name="PivotTable1" cacheId="16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4:B25" firstHeaderRow="1" firstDataRow="1" firstDataCol="1"/>
  <pivotFields count="5">
    <pivotField numFmtId="172" showAll="0"/>
    <pivotField numFmtId="175" showAll="0"/>
    <pivotField axis="axisRow" showAll="0">
      <items count="21">
        <item x="18"/>
        <item x="11"/>
        <item x="10"/>
        <item x="2"/>
        <item x="12"/>
        <item x="15"/>
        <item x="1"/>
        <item x="17"/>
        <item x="13"/>
        <item x="6"/>
        <item x="8"/>
        <item x="7"/>
        <item x="9"/>
        <item x="16"/>
        <item x="0"/>
        <item x="3"/>
        <item x="5"/>
        <item x="14"/>
        <item x="4"/>
        <item x="19"/>
        <item t="default"/>
      </items>
    </pivotField>
    <pivotField showAll="0"/>
    <pivotField dataField="1" showAll="0"/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Purchase" fld="4" baseField="2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D74067-BEC5-4B91-9695-0B4FE54B82F3}" name="PivotTable4" cacheId="17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28:B36" firstHeaderRow="1" firstDataRow="1" firstDataCol="1"/>
  <pivotFields count="9">
    <pivotField showAll="0"/>
    <pivotField showAll="0"/>
    <pivotField showAll="0"/>
    <pivotField axis="axisRow" showAll="0">
      <items count="8">
        <item x="2"/>
        <item x="1"/>
        <item x="0"/>
        <item x="3"/>
        <item x="5"/>
        <item x="4"/>
        <item x="6"/>
        <item t="default"/>
      </items>
    </pivotField>
    <pivotField showAll="0"/>
    <pivotField showAll="0"/>
    <pivotField showAll="0"/>
    <pivotField numFmtId="165" showAll="0"/>
    <pivotField dataField="1" numFmtId="166"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Average of Pay Rate" fld="8" subtotal="average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Sheet6" cacheId="171" applyNumberFormats="0" applyBorderFormats="0" applyFontFormats="0" applyPatternFormats="0" applyAlignmentFormats="0" applyWidthHeightFormats="0" dataCaption="" updatedVersion="7" compact="0" compactData="0">
  <location ref="G10:I18" firstHeaderRow="1" firstDataRow="2" firstDataCol="1"/>
  <pivotFields count="4">
    <pivotField name="ID Number" compact="0" outline="0" multipleItemSelectionAllowed="1" showAll="0"/>
    <pivotField name="Product" axis="axisRow" compact="0" outline="0" multipleItemSelectionAllowed="1" showAll="0" sortType="ascending">
      <items count="7">
        <item x="0"/>
        <item x="2"/>
        <item x="4"/>
        <item x="1"/>
        <item x="3"/>
        <item x="5"/>
        <item t="default"/>
      </items>
    </pivotField>
    <pivotField name="Revenue" dataField="1" compact="0" numFmtId="171" outline="0" multipleItemSelectionAllowed="1" showAll="0"/>
    <pivotField name="Profit" dataField="1" compact="0" numFmtId="171" outline="0" multipleItemSelectionAllowed="1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enue" fld="2" baseField="0"/>
    <dataField name="Average of Profit" fld="3" subtotal="average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E29C42-37C2-4E8A-802B-01A3A872754F}" name="tblSales7" displayName="tblSales7" ref="A1:E20" totalsRowShown="0" headerRowDxfId="36">
  <autoFilter ref="A1:E20" xr:uid="{8BE29C42-37C2-4E8A-802B-01A3A872754F}"/>
  <tableColumns count="5">
    <tableColumn id="1" xr3:uid="{C517297A-9ACC-4D55-911F-2139B78BF8AF}" name="Date" dataDxfId="35"/>
    <tableColumn id="2" xr3:uid="{D3143AE9-FED1-453D-AC71-EBD93143B84B}" name="Order ID" dataDxfId="34"/>
    <tableColumn id="3" xr3:uid="{0DE223D9-23FF-4051-9526-DFE5D1BDB887}" name="First" dataDxfId="33"/>
    <tableColumn id="4" xr3:uid="{2F694E99-B98D-40BF-AF3C-7773827BFB5E}" name="Last" dataDxfId="32"/>
    <tableColumn id="5" xr3:uid="{E94C483A-36D8-42B3-90AB-390FECEA6F0A}" name="Purchase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FDE0D3-7564-4778-8610-5F72EE3E7283}" name="tblHR8" displayName="tblHR8" ref="A23:I60" totalsRowShown="0" headerRowDxfId="30" dataDxfId="29" headerRowBorderDxfId="27" tableBorderDxfId="28" totalsRowBorderDxfId="26">
  <autoFilter ref="A23:I60" xr:uid="{36FDE0D3-7564-4778-8610-5F72EE3E7283}"/>
  <tableColumns count="9">
    <tableColumn id="1" xr3:uid="{E9FA5AEA-1B17-4A1E-AAD9-06D81E78E903}" name="Emp ID" dataDxfId="25"/>
    <tableColumn id="2" xr3:uid="{33C4325D-2508-4192-8A06-049C2E015AF1}" name="Last Name" dataDxfId="24"/>
    <tableColumn id="3" xr3:uid="{B8F1168D-0EC0-4883-A99C-8E206EBA3612}" name="First Name" dataDxfId="23"/>
    <tableColumn id="4" xr3:uid="{B184555A-FCF3-4464-A704-DA72E1C92EEA}" name="Dept" dataDxfId="22"/>
    <tableColumn id="5" xr3:uid="{18211AA1-CD59-4ED1-95AC-4B88B92D4DD0}" name="E-mail" dataDxfId="21"/>
    <tableColumn id="6" xr3:uid="{26D481E0-AC60-4E8A-99B4-7AC16B6AC7C6}" name="Phone Ext" dataDxfId="20"/>
    <tableColumn id="7" xr3:uid="{ACCD5A41-E52D-40FB-A4EC-31AA0BDCEBBB}" name="Location" dataDxfId="19"/>
    <tableColumn id="8" xr3:uid="{9515764B-6CBD-47D8-AB33-19C762AFDA72}" name="Hire Date" dataDxfId="18"/>
    <tableColumn id="9" xr3:uid="{F914D40E-23F7-4813-B5F4-0D1907E11EA1}" name="Pay Rate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9269FDC-95B9-48E8-AEE1-65A13EB2F7A7}" name="tblInventory9" displayName="tblInventory9" ref="A63:G66" totalsRowShown="0" headerRowDxfId="16" tableBorderDxfId="15">
  <autoFilter ref="A63:G66" xr:uid="{49269FDC-95B9-48E8-AEE1-65A13EB2F7A7}"/>
  <tableColumns count="7">
    <tableColumn id="1" xr3:uid="{DB59F4D9-92F0-4B5C-ACDA-65FB71CCC53F}" name="Product Code:" dataDxfId="14"/>
    <tableColumn id="2" xr3:uid="{E602C39D-2198-4CE5-B4AA-2140A2043DEF}" name="XP100" dataDxfId="13"/>
    <tableColumn id="3" xr3:uid="{770CC2F3-EA5E-4934-AE61-CCBC61238E35}" name="XP200" dataDxfId="12"/>
    <tableColumn id="4" xr3:uid="{15242764-20A1-4578-8ECF-DFA993487DD8}" name="XP300" dataDxfId="11"/>
    <tableColumn id="5" xr3:uid="{D7A3D77C-C54A-4A7C-A70B-AEDA75B25059}" name="AX10" dataDxfId="10"/>
    <tableColumn id="6" xr3:uid="{A4294993-63B9-4F18-9E98-571BC0FA1A93}" name="AX25" dataDxfId="9"/>
    <tableColumn id="7" xr3:uid="{B435E655-4D12-4C86-8FED-F3554815EB8A}" name="AX50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704FB-3810-49D7-B4D5-6A76AACEF2F7}" name="tblInventory" displayName="tblInventory" ref="A11:G14" totalsRowShown="0" headerRowDxfId="37" tableBorderDxfId="45">
  <autoFilter ref="A11:G14" xr:uid="{A95704FB-3810-49D7-B4D5-6A76AACEF2F7}"/>
  <tableColumns count="7">
    <tableColumn id="1" xr3:uid="{3C4CCA02-831B-470F-B7D2-3407FD08C61D}" name="Product Code" dataDxfId="44"/>
    <tableColumn id="2" xr3:uid="{443ED3BD-4970-4E88-8925-35BED65DD368}" name="XP100" dataDxfId="43"/>
    <tableColumn id="3" xr3:uid="{C6D2B78B-F3ED-4E29-A68A-F050DFA3758B}" name="XP200" dataDxfId="42"/>
    <tableColumn id="4" xr3:uid="{B46E7F3A-150F-4629-8759-DF83644E8A74}" name="XP300" dataDxfId="41"/>
    <tableColumn id="5" xr3:uid="{850EFD53-A835-4D51-A16E-C0A829DE6A19}" name="AX10" dataDxfId="40"/>
    <tableColumn id="6" xr3:uid="{59E0D774-8618-43C0-8F4E-EEF372A079CC}" name="AX25" dataDxfId="39"/>
    <tableColumn id="7" xr3:uid="{DABCF84F-3AF7-4F5F-86C1-3DFA6A05B8AC}" name="AX50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C524FC-2BBC-4984-AF2C-4D84040D636B}" name="tblHR" displayName="tblHR" ref="A3:I41" totalsRowShown="0" headerRowDxfId="46" dataDxfId="47" headerRowBorderDxfId="58" tableBorderDxfId="59" totalsRowBorderDxfId="57">
  <autoFilter ref="A3:I41" xr:uid="{3FC524FC-2BBC-4984-AF2C-4D84040D636B}"/>
  <tableColumns count="9">
    <tableColumn id="1" xr3:uid="{0EAE7391-7843-45CD-B23A-AC6E57633276}" name="Emp ID" dataDxfId="56"/>
    <tableColumn id="2" xr3:uid="{403BF7A2-7062-410B-ACE6-50A4003DFAC7}" name="Last Name" dataDxfId="55"/>
    <tableColumn id="3" xr3:uid="{2EA084D4-BEB4-4705-8A58-47BC964BF7D0}" name="First Name" dataDxfId="54"/>
    <tableColumn id="4" xr3:uid="{3A6BDEA5-875E-4E90-A46F-AD8296F2E2C3}" name="Dept" dataDxfId="53"/>
    <tableColumn id="5" xr3:uid="{AFD3E4A2-A213-4559-9894-AAD26DA58F76}" name="E-mail" dataDxfId="52"/>
    <tableColumn id="6" xr3:uid="{613FB50F-E739-4260-9716-B5B955BED1FA}" name="Phone Ext" dataDxfId="51"/>
    <tableColumn id="7" xr3:uid="{BC89E3CD-DA88-4ECB-B555-741734BB5D66}" name="Location" dataDxfId="50"/>
    <tableColumn id="8" xr3:uid="{398D8539-FD41-4B08-B76A-2B5CE51B45D6}" name="Hire Date" dataDxfId="49"/>
    <tableColumn id="9" xr3:uid="{E9897937-6203-4C23-8FC6-1A406C2858CE}" name="Pay Rate" dataDxfId="4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1EDBBC-93D0-40FC-8F11-8788140AF7E3}" name="tblSales" displayName="tblSales" ref="B5:F25" totalsRowShown="0" headerRowDxfId="7">
  <autoFilter ref="B5:F25" xr:uid="{CC1EDBBC-93D0-40FC-8F11-8788140AF7E3}"/>
  <tableColumns count="5">
    <tableColumn id="1" xr3:uid="{8C3CBE90-119D-4913-AA45-D521442A4BBD}" name="Date" dataDxfId="6"/>
    <tableColumn id="2" xr3:uid="{7F610D57-A868-4163-9552-0EB552746C18}" name="Order ID" dataDxfId="5"/>
    <tableColumn id="3" xr3:uid="{AA691DB7-E1A5-4502-A028-4A510465A1F8}" name="First" dataDxfId="4"/>
    <tableColumn id="4" xr3:uid="{9BD090A3-E85F-4310-A6C9-00AEFE62CDB9}" name="Last" dataDxfId="3"/>
    <tableColumn id="5" xr3:uid="{7E3F2E57-A2DD-4AB5-96A8-6E1292118547}" name="Purchas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376F-DD86-4C71-8B14-BEA6B49D3681}">
  <sheetPr codeName="Sheet1"/>
  <dimension ref="A1:I66"/>
  <sheetViews>
    <sheetView workbookViewId="0">
      <selection activeCell="G9" sqref="G9"/>
    </sheetView>
  </sheetViews>
  <sheetFormatPr defaultRowHeight="14.4"/>
  <cols>
    <col min="1" max="1" width="19.6640625" customWidth="1"/>
    <col min="8" max="8" width="19.5546875" customWidth="1"/>
  </cols>
  <sheetData>
    <row r="1" spans="1:5">
      <c r="A1" s="69" t="s">
        <v>3497</v>
      </c>
      <c r="B1" s="69" t="s">
        <v>3507</v>
      </c>
      <c r="C1" s="69" t="s">
        <v>3508</v>
      </c>
      <c r="D1" s="69" t="s">
        <v>3509</v>
      </c>
      <c r="E1" s="69" t="s">
        <v>3510</v>
      </c>
    </row>
    <row r="2" spans="1:5">
      <c r="A2" s="70">
        <v>43870</v>
      </c>
      <c r="B2" s="71">
        <v>1002</v>
      </c>
      <c r="C2" s="46" t="s">
        <v>3511</v>
      </c>
      <c r="D2" s="46" t="s">
        <v>3512</v>
      </c>
      <c r="E2" s="30" t="s">
        <v>3513</v>
      </c>
    </row>
    <row r="3" spans="1:5">
      <c r="A3" s="70">
        <v>43871</v>
      </c>
      <c r="B3" s="71">
        <v>1003</v>
      </c>
      <c r="C3" s="46" t="s">
        <v>3514</v>
      </c>
      <c r="D3" s="46" t="s">
        <v>3515</v>
      </c>
      <c r="E3" s="30">
        <v>540</v>
      </c>
    </row>
    <row r="4" spans="1:5">
      <c r="A4" s="70">
        <v>43872</v>
      </c>
      <c r="B4" s="71">
        <v>1004</v>
      </c>
      <c r="C4" s="46" t="s">
        <v>3516</v>
      </c>
      <c r="D4" s="46" t="s">
        <v>3517</v>
      </c>
      <c r="E4" s="30">
        <v>630</v>
      </c>
    </row>
    <row r="5" spans="1:5">
      <c r="A5" s="70">
        <v>43873</v>
      </c>
      <c r="B5" s="71">
        <v>1005</v>
      </c>
      <c r="C5" s="46" t="s">
        <v>3491</v>
      </c>
      <c r="D5" s="46" t="s">
        <v>3518</v>
      </c>
      <c r="E5" s="30">
        <v>880</v>
      </c>
    </row>
    <row r="6" spans="1:5">
      <c r="A6" s="70">
        <v>43874</v>
      </c>
      <c r="B6" s="71">
        <v>1006</v>
      </c>
      <c r="C6" s="46" t="s">
        <v>3523</v>
      </c>
      <c r="D6" s="46" t="s">
        <v>3524</v>
      </c>
      <c r="E6" s="30">
        <v>800</v>
      </c>
    </row>
    <row r="7" spans="1:5">
      <c r="A7" s="70">
        <v>43878</v>
      </c>
      <c r="B7" s="71">
        <v>1010</v>
      </c>
      <c r="C7" s="46" t="s">
        <v>116</v>
      </c>
      <c r="D7" s="46" t="s">
        <v>3525</v>
      </c>
      <c r="E7" s="30">
        <v>750</v>
      </c>
    </row>
    <row r="8" spans="1:5">
      <c r="A8" s="70">
        <v>43879</v>
      </c>
      <c r="B8" s="71">
        <v>1011</v>
      </c>
      <c r="C8" s="46" t="s">
        <v>3526</v>
      </c>
      <c r="D8" s="46" t="s">
        <v>3527</v>
      </c>
      <c r="E8" s="30" t="s">
        <v>3528</v>
      </c>
    </row>
    <row r="9" spans="1:5">
      <c r="A9" s="70">
        <v>43882</v>
      </c>
      <c r="B9" s="71">
        <v>1014</v>
      </c>
      <c r="C9" s="46" t="s">
        <v>3529</v>
      </c>
      <c r="D9" s="46" t="s">
        <v>3530</v>
      </c>
      <c r="E9" s="30">
        <v>660</v>
      </c>
    </row>
    <row r="10" spans="1:5">
      <c r="A10" s="70">
        <v>43883</v>
      </c>
      <c r="B10" s="71">
        <v>1015</v>
      </c>
      <c r="C10" s="46" t="s">
        <v>3531</v>
      </c>
      <c r="D10" s="46" t="s">
        <v>3532</v>
      </c>
      <c r="E10" s="30">
        <v>800</v>
      </c>
    </row>
    <row r="11" spans="1:5">
      <c r="A11" s="70">
        <v>43884</v>
      </c>
      <c r="B11" s="71">
        <v>1016</v>
      </c>
      <c r="C11" s="46" t="s">
        <v>3359</v>
      </c>
      <c r="D11" s="46" t="s">
        <v>57</v>
      </c>
      <c r="E11" s="30">
        <v>550</v>
      </c>
    </row>
    <row r="12" spans="1:5">
      <c r="A12" s="70">
        <v>43885</v>
      </c>
      <c r="B12" s="71">
        <v>1017</v>
      </c>
      <c r="C12" s="46" t="s">
        <v>3533</v>
      </c>
      <c r="D12" s="46" t="s">
        <v>3534</v>
      </c>
      <c r="E12" s="30">
        <v>910</v>
      </c>
    </row>
    <row r="13" spans="1:5">
      <c r="A13" s="70">
        <v>43886</v>
      </c>
      <c r="B13" s="71">
        <v>1018</v>
      </c>
      <c r="C13" s="46" t="s">
        <v>3535</v>
      </c>
      <c r="D13" s="46" t="s">
        <v>3536</v>
      </c>
      <c r="E13" s="30">
        <v>880</v>
      </c>
    </row>
    <row r="14" spans="1:5">
      <c r="A14" s="70">
        <v>43887</v>
      </c>
      <c r="B14" s="71">
        <v>1019</v>
      </c>
      <c r="C14" s="46" t="s">
        <v>3537</v>
      </c>
      <c r="D14" s="46" t="s">
        <v>3538</v>
      </c>
      <c r="E14" s="30">
        <v>710</v>
      </c>
    </row>
    <row r="15" spans="1:5">
      <c r="A15" s="70">
        <v>43889</v>
      </c>
      <c r="B15" s="71">
        <v>1021</v>
      </c>
      <c r="C15" s="46" t="s">
        <v>3539</v>
      </c>
      <c r="D15" s="46" t="s">
        <v>3540</v>
      </c>
      <c r="E15" s="30">
        <v>680</v>
      </c>
    </row>
    <row r="16" spans="1:5">
      <c r="A16" s="70">
        <v>43890</v>
      </c>
      <c r="B16" s="71">
        <v>1022</v>
      </c>
      <c r="C16" s="46" t="s">
        <v>3541</v>
      </c>
      <c r="D16" s="46" t="s">
        <v>3542</v>
      </c>
      <c r="E16" s="30">
        <v>880</v>
      </c>
    </row>
    <row r="17" spans="1:9">
      <c r="A17" s="70">
        <v>43891</v>
      </c>
      <c r="B17" s="71">
        <v>1023</v>
      </c>
      <c r="C17" s="46" t="s">
        <v>3543</v>
      </c>
      <c r="D17" s="46" t="s">
        <v>3544</v>
      </c>
      <c r="E17" s="30">
        <v>510</v>
      </c>
    </row>
    <row r="18" spans="1:9">
      <c r="A18" s="70">
        <v>44445</v>
      </c>
      <c r="B18" s="71">
        <v>1024</v>
      </c>
      <c r="C18" s="46" t="s">
        <v>3545</v>
      </c>
      <c r="D18" s="46" t="s">
        <v>3546</v>
      </c>
      <c r="E18" s="30">
        <v>810</v>
      </c>
    </row>
    <row r="19" spans="1:9">
      <c r="A19" s="70">
        <v>44463</v>
      </c>
      <c r="B19" s="71">
        <v>1025</v>
      </c>
      <c r="C19" s="46" t="s">
        <v>3547</v>
      </c>
      <c r="D19" s="46" t="s">
        <v>3548</v>
      </c>
      <c r="E19" s="30">
        <v>630</v>
      </c>
    </row>
    <row r="20" spans="1:9">
      <c r="A20" s="70">
        <v>44553</v>
      </c>
      <c r="B20" s="71">
        <v>1030</v>
      </c>
      <c r="C20" s="46" t="s">
        <v>3549</v>
      </c>
      <c r="D20" s="46" t="s">
        <v>3550</v>
      </c>
      <c r="E20" s="30">
        <v>780</v>
      </c>
    </row>
    <row r="23" spans="1:9">
      <c r="A23" s="106" t="s">
        <v>48</v>
      </c>
      <c r="B23" s="107" t="s">
        <v>49</v>
      </c>
      <c r="C23" s="107" t="s">
        <v>50</v>
      </c>
      <c r="D23" s="107" t="s">
        <v>51</v>
      </c>
      <c r="E23" s="107" t="s">
        <v>52</v>
      </c>
      <c r="F23" s="107" t="s">
        <v>53</v>
      </c>
      <c r="G23" s="107" t="s">
        <v>54</v>
      </c>
      <c r="H23" s="107" t="s">
        <v>55</v>
      </c>
      <c r="I23" s="108" t="s">
        <v>56</v>
      </c>
    </row>
    <row r="24" spans="1:9">
      <c r="A24" s="104">
        <v>1054</v>
      </c>
      <c r="B24" s="18" t="s">
        <v>57</v>
      </c>
      <c r="C24" s="18" t="s">
        <v>58</v>
      </c>
      <c r="D24" s="18" t="s">
        <v>59</v>
      </c>
      <c r="E24" s="18" t="s">
        <v>60</v>
      </c>
      <c r="F24" s="18">
        <v>148</v>
      </c>
      <c r="G24" s="18" t="s">
        <v>61</v>
      </c>
      <c r="H24" s="19">
        <v>38092.25</v>
      </c>
      <c r="I24" s="105">
        <v>11.25</v>
      </c>
    </row>
    <row r="25" spans="1:9">
      <c r="A25" s="104">
        <v>1056</v>
      </c>
      <c r="B25" s="18" t="s">
        <v>62</v>
      </c>
      <c r="C25" s="18" t="s">
        <v>63</v>
      </c>
      <c r="D25" s="18" t="s">
        <v>59</v>
      </c>
      <c r="E25" s="18" t="s">
        <v>64</v>
      </c>
      <c r="F25" s="18">
        <v>121</v>
      </c>
      <c r="G25" s="18" t="s">
        <v>61</v>
      </c>
      <c r="H25" s="19">
        <v>33901.25</v>
      </c>
      <c r="I25" s="105">
        <v>12.25</v>
      </c>
    </row>
    <row r="26" spans="1:9">
      <c r="A26" s="104">
        <v>1067</v>
      </c>
      <c r="B26" s="18" t="s">
        <v>66</v>
      </c>
      <c r="C26" s="18" t="s">
        <v>67</v>
      </c>
      <c r="D26" s="18" t="s">
        <v>59</v>
      </c>
      <c r="E26" s="18" t="s">
        <v>68</v>
      </c>
      <c r="F26" s="18">
        <v>123</v>
      </c>
      <c r="G26" s="18" t="s">
        <v>61</v>
      </c>
      <c r="H26" s="19">
        <v>36788.25</v>
      </c>
      <c r="I26" s="105">
        <v>14.55</v>
      </c>
    </row>
    <row r="27" spans="1:9">
      <c r="A27" s="104">
        <v>1075</v>
      </c>
      <c r="B27" s="18" t="s">
        <v>69</v>
      </c>
      <c r="C27" s="18" t="s">
        <v>70</v>
      </c>
      <c r="D27" s="18" t="s">
        <v>71</v>
      </c>
      <c r="E27" s="18" t="s">
        <v>72</v>
      </c>
      <c r="F27" s="18">
        <v>126</v>
      </c>
      <c r="G27" s="18" t="s">
        <v>73</v>
      </c>
      <c r="H27" s="19">
        <v>38571.25</v>
      </c>
      <c r="I27" s="105">
        <v>11.25</v>
      </c>
    </row>
    <row r="28" spans="1:9">
      <c r="A28" s="104">
        <v>1078</v>
      </c>
      <c r="B28" s="18" t="s">
        <v>74</v>
      </c>
      <c r="C28" s="18" t="s">
        <v>75</v>
      </c>
      <c r="D28" s="18" t="s">
        <v>76</v>
      </c>
      <c r="E28" s="18" t="s">
        <v>77</v>
      </c>
      <c r="F28" s="18">
        <v>101</v>
      </c>
      <c r="G28" s="18" t="s">
        <v>73</v>
      </c>
      <c r="H28" s="19">
        <v>36251.25</v>
      </c>
      <c r="I28" s="105">
        <v>10.199999999999999</v>
      </c>
    </row>
    <row r="29" spans="1:9">
      <c r="A29" s="104">
        <v>1152</v>
      </c>
      <c r="B29" s="18" t="s">
        <v>78</v>
      </c>
      <c r="C29" s="18" t="s">
        <v>79</v>
      </c>
      <c r="D29" s="18" t="s">
        <v>71</v>
      </c>
      <c r="E29" s="18" t="s">
        <v>80</v>
      </c>
      <c r="F29" s="18">
        <v>118</v>
      </c>
      <c r="G29" s="18" t="s">
        <v>73</v>
      </c>
      <c r="H29" s="19">
        <v>37642.25</v>
      </c>
      <c r="I29" s="105">
        <v>12.25</v>
      </c>
    </row>
    <row r="30" spans="1:9">
      <c r="A30" s="104">
        <v>1196</v>
      </c>
      <c r="B30" s="18" t="s">
        <v>81</v>
      </c>
      <c r="C30" s="18" t="s">
        <v>82</v>
      </c>
      <c r="D30" s="18" t="s">
        <v>83</v>
      </c>
      <c r="E30" s="18" t="s">
        <v>84</v>
      </c>
      <c r="F30" s="18">
        <v>289</v>
      </c>
      <c r="G30" s="18" t="s">
        <v>85</v>
      </c>
      <c r="H30" s="19">
        <v>40634.25</v>
      </c>
      <c r="I30" s="105">
        <v>9.9499999999999993</v>
      </c>
    </row>
    <row r="31" spans="1:9">
      <c r="A31" s="104">
        <v>1284</v>
      </c>
      <c r="B31" s="18" t="s">
        <v>86</v>
      </c>
      <c r="C31" s="18" t="s">
        <v>87</v>
      </c>
      <c r="D31" s="18" t="s">
        <v>88</v>
      </c>
      <c r="E31" s="18" t="s">
        <v>89</v>
      </c>
      <c r="F31" s="18">
        <v>124</v>
      </c>
      <c r="G31" s="18" t="s">
        <v>61</v>
      </c>
      <c r="H31" s="19">
        <v>35799.25</v>
      </c>
      <c r="I31" s="105">
        <v>12.3</v>
      </c>
    </row>
    <row r="32" spans="1:9">
      <c r="A32" s="104">
        <v>1290</v>
      </c>
      <c r="B32" s="18" t="s">
        <v>90</v>
      </c>
      <c r="C32" s="18" t="s">
        <v>91</v>
      </c>
      <c r="D32" s="18" t="s">
        <v>71</v>
      </c>
      <c r="E32" s="18" t="s">
        <v>92</v>
      </c>
      <c r="F32" s="18">
        <v>113</v>
      </c>
      <c r="G32" s="18" t="s">
        <v>73</v>
      </c>
      <c r="H32" s="19">
        <v>35798.25</v>
      </c>
      <c r="I32" s="105">
        <v>13.25</v>
      </c>
    </row>
    <row r="33" spans="1:9">
      <c r="A33" s="104">
        <v>1293</v>
      </c>
      <c r="B33" s="18" t="s">
        <v>93</v>
      </c>
      <c r="C33" s="18" t="s">
        <v>94</v>
      </c>
      <c r="D33" s="18" t="s">
        <v>83</v>
      </c>
      <c r="E33" s="18" t="s">
        <v>95</v>
      </c>
      <c r="F33" s="18">
        <v>205</v>
      </c>
      <c r="G33" s="18" t="s">
        <v>85</v>
      </c>
      <c r="H33" s="19">
        <v>35687.25</v>
      </c>
      <c r="I33" s="105">
        <v>10.199999999999999</v>
      </c>
    </row>
    <row r="34" spans="1:9">
      <c r="A34" s="104">
        <v>1299</v>
      </c>
      <c r="B34" s="18" t="s">
        <v>96</v>
      </c>
      <c r="C34" s="18" t="s">
        <v>97</v>
      </c>
      <c r="D34" s="18" t="s">
        <v>98</v>
      </c>
      <c r="E34" s="18" t="s">
        <v>99</v>
      </c>
      <c r="F34" s="18">
        <v>127</v>
      </c>
      <c r="G34" s="18" t="s">
        <v>61</v>
      </c>
      <c r="H34" s="19">
        <v>37611.25</v>
      </c>
      <c r="I34" s="105">
        <v>12.2</v>
      </c>
    </row>
    <row r="35" spans="1:9">
      <c r="A35" s="104">
        <v>1302</v>
      </c>
      <c r="B35" s="18" t="s">
        <v>57</v>
      </c>
      <c r="C35" s="18" t="s">
        <v>100</v>
      </c>
      <c r="D35" s="18" t="s">
        <v>88</v>
      </c>
      <c r="E35" s="18" t="s">
        <v>101</v>
      </c>
      <c r="F35" s="18">
        <v>139</v>
      </c>
      <c r="G35" s="18" t="s">
        <v>61</v>
      </c>
      <c r="H35" s="19">
        <v>35648.25</v>
      </c>
      <c r="I35" s="105">
        <v>14.25</v>
      </c>
    </row>
    <row r="36" spans="1:9">
      <c r="A36" s="104">
        <v>1310</v>
      </c>
      <c r="B36" s="18" t="s">
        <v>57</v>
      </c>
      <c r="C36" s="18" t="s">
        <v>102</v>
      </c>
      <c r="D36" s="18" t="s">
        <v>98</v>
      </c>
      <c r="E36" s="18" t="s">
        <v>103</v>
      </c>
      <c r="F36" s="18">
        <v>137</v>
      </c>
      <c r="G36" s="18" t="s">
        <v>61</v>
      </c>
      <c r="H36" s="19">
        <v>36437.25</v>
      </c>
      <c r="I36" s="105">
        <v>11.5</v>
      </c>
    </row>
    <row r="37" spans="1:9">
      <c r="A37" s="104">
        <v>1329</v>
      </c>
      <c r="B37" s="18" t="s">
        <v>104</v>
      </c>
      <c r="C37" s="18" t="s">
        <v>105</v>
      </c>
      <c r="D37" s="18" t="s">
        <v>76</v>
      </c>
      <c r="E37" s="18" t="s">
        <v>106</v>
      </c>
      <c r="F37" s="18">
        <v>151</v>
      </c>
      <c r="G37" s="18" t="s">
        <v>73</v>
      </c>
      <c r="H37" s="19">
        <v>37309.25</v>
      </c>
      <c r="I37" s="105">
        <v>10.35</v>
      </c>
    </row>
    <row r="38" spans="1:9">
      <c r="A38" s="104">
        <v>1333</v>
      </c>
      <c r="B38" s="18" t="s">
        <v>107</v>
      </c>
      <c r="C38" s="18" t="s">
        <v>108</v>
      </c>
      <c r="D38" s="18" t="s">
        <v>83</v>
      </c>
      <c r="E38" s="18" t="s">
        <v>109</v>
      </c>
      <c r="F38" s="18">
        <v>122</v>
      </c>
      <c r="G38" s="18" t="s">
        <v>85</v>
      </c>
      <c r="H38" s="19">
        <v>37727.25</v>
      </c>
      <c r="I38" s="105">
        <v>10.15</v>
      </c>
    </row>
    <row r="39" spans="1:9">
      <c r="A39" s="104">
        <v>1368</v>
      </c>
      <c r="B39" s="18" t="s">
        <v>110</v>
      </c>
      <c r="C39" s="18" t="s">
        <v>111</v>
      </c>
      <c r="D39" s="18" t="s">
        <v>71</v>
      </c>
      <c r="E39" s="18" t="s">
        <v>112</v>
      </c>
      <c r="F39" s="18">
        <v>132</v>
      </c>
      <c r="G39" s="18" t="s">
        <v>73</v>
      </c>
      <c r="H39" s="19">
        <v>35134.25</v>
      </c>
      <c r="I39" s="105">
        <v>12.25</v>
      </c>
    </row>
    <row r="40" spans="1:9">
      <c r="A40" s="104">
        <v>1509</v>
      </c>
      <c r="B40" s="18" t="s">
        <v>113</v>
      </c>
      <c r="C40" s="18" t="s">
        <v>114</v>
      </c>
      <c r="D40" s="18" t="s">
        <v>59</v>
      </c>
      <c r="E40" s="18" t="s">
        <v>115</v>
      </c>
      <c r="F40" s="18">
        <v>135</v>
      </c>
      <c r="G40" s="18" t="s">
        <v>61</v>
      </c>
      <c r="H40" s="19">
        <v>35965.25</v>
      </c>
      <c r="I40" s="105">
        <v>13.25</v>
      </c>
    </row>
    <row r="41" spans="1:9">
      <c r="A41" s="104">
        <v>1516</v>
      </c>
      <c r="B41" s="18" t="s">
        <v>57</v>
      </c>
      <c r="C41" s="18" t="s">
        <v>116</v>
      </c>
      <c r="D41" s="18" t="s">
        <v>76</v>
      </c>
      <c r="E41" s="18" t="s">
        <v>117</v>
      </c>
      <c r="F41" s="18">
        <v>105</v>
      </c>
      <c r="G41" s="18" t="s">
        <v>73</v>
      </c>
      <c r="H41" s="19">
        <v>35860.25</v>
      </c>
      <c r="I41" s="105">
        <v>9.5</v>
      </c>
    </row>
    <row r="42" spans="1:9" ht="28.8">
      <c r="A42" s="104">
        <v>1529</v>
      </c>
      <c r="B42" s="18" t="s">
        <v>118</v>
      </c>
      <c r="C42" s="18" t="s">
        <v>119</v>
      </c>
      <c r="D42" s="18" t="s">
        <v>88</v>
      </c>
      <c r="E42" s="18" t="s">
        <v>120</v>
      </c>
      <c r="F42" s="18">
        <v>129</v>
      </c>
      <c r="G42" s="18" t="s">
        <v>61</v>
      </c>
      <c r="H42" s="19">
        <v>36553.25</v>
      </c>
      <c r="I42" s="105">
        <v>11.3</v>
      </c>
    </row>
    <row r="43" spans="1:9">
      <c r="A43" s="104">
        <v>1656</v>
      </c>
      <c r="B43" s="18" t="s">
        <v>121</v>
      </c>
      <c r="C43" s="18" t="s">
        <v>122</v>
      </c>
      <c r="D43" s="18" t="s">
        <v>98</v>
      </c>
      <c r="E43" s="18" t="s">
        <v>123</v>
      </c>
      <c r="F43" s="18">
        <v>149</v>
      </c>
      <c r="G43" s="18" t="s">
        <v>61</v>
      </c>
      <c r="H43" s="19">
        <v>36873.25</v>
      </c>
      <c r="I43" s="105">
        <v>12.35</v>
      </c>
    </row>
    <row r="44" spans="1:9" ht="28.8">
      <c r="A44" s="104">
        <v>1672</v>
      </c>
      <c r="B44" s="18" t="s">
        <v>124</v>
      </c>
      <c r="C44" s="18" t="s">
        <v>125</v>
      </c>
      <c r="D44" s="18" t="s">
        <v>98</v>
      </c>
      <c r="E44" s="18" t="s">
        <v>126</v>
      </c>
      <c r="F44" s="18">
        <v>114</v>
      </c>
      <c r="G44" s="18" t="s">
        <v>61</v>
      </c>
      <c r="H44" s="19">
        <v>37727.25</v>
      </c>
      <c r="I44" s="105">
        <v>11.9</v>
      </c>
    </row>
    <row r="45" spans="1:9" ht="28.8">
      <c r="A45" s="104">
        <v>1673</v>
      </c>
      <c r="B45" s="18" t="s">
        <v>127</v>
      </c>
      <c r="C45" s="18" t="s">
        <v>87</v>
      </c>
      <c r="D45" s="18" t="s">
        <v>71</v>
      </c>
      <c r="E45" s="18" t="s">
        <v>128</v>
      </c>
      <c r="F45" s="18">
        <v>112</v>
      </c>
      <c r="G45" s="18" t="s">
        <v>73</v>
      </c>
      <c r="H45" s="19">
        <v>38436.25</v>
      </c>
      <c r="I45" s="105">
        <v>11.85</v>
      </c>
    </row>
    <row r="46" spans="1:9">
      <c r="A46" s="104">
        <v>1676</v>
      </c>
      <c r="B46" s="18" t="s">
        <v>113</v>
      </c>
      <c r="C46" s="18" t="s">
        <v>129</v>
      </c>
      <c r="D46" s="18" t="s">
        <v>88</v>
      </c>
      <c r="E46" s="18" t="s">
        <v>130</v>
      </c>
      <c r="F46" s="18">
        <v>115</v>
      </c>
      <c r="G46" s="18" t="s">
        <v>61</v>
      </c>
      <c r="H46" s="19">
        <v>34633.25</v>
      </c>
      <c r="I46" s="105">
        <v>10.75</v>
      </c>
    </row>
    <row r="47" spans="1:9">
      <c r="A47" s="104">
        <v>1721</v>
      </c>
      <c r="B47" s="18" t="s">
        <v>131</v>
      </c>
      <c r="C47" s="18" t="s">
        <v>132</v>
      </c>
      <c r="D47" s="18" t="s">
        <v>83</v>
      </c>
      <c r="E47" s="18" t="s">
        <v>133</v>
      </c>
      <c r="F47" s="18">
        <v>102</v>
      </c>
      <c r="G47" s="18" t="s">
        <v>85</v>
      </c>
      <c r="H47" s="19">
        <v>37839.25</v>
      </c>
      <c r="I47" s="105">
        <v>9.75</v>
      </c>
    </row>
    <row r="48" spans="1:9">
      <c r="A48" s="104">
        <v>1723</v>
      </c>
      <c r="B48" s="18" t="s">
        <v>134</v>
      </c>
      <c r="C48" s="18" t="s">
        <v>79</v>
      </c>
      <c r="D48" s="18" t="s">
        <v>88</v>
      </c>
      <c r="E48" s="18" t="s">
        <v>135</v>
      </c>
      <c r="F48" s="18">
        <v>145</v>
      </c>
      <c r="G48" s="18" t="s">
        <v>61</v>
      </c>
      <c r="H48" s="19">
        <v>33279.25</v>
      </c>
      <c r="I48" s="105">
        <v>13.95</v>
      </c>
    </row>
    <row r="49" spans="1:9">
      <c r="A49" s="104">
        <v>1758</v>
      </c>
      <c r="B49" s="18" t="s">
        <v>136</v>
      </c>
      <c r="C49" s="18" t="s">
        <v>137</v>
      </c>
      <c r="D49" s="18" t="s">
        <v>76</v>
      </c>
      <c r="E49" s="18" t="s">
        <v>138</v>
      </c>
      <c r="F49" s="18">
        <v>107</v>
      </c>
      <c r="G49" s="18" t="s">
        <v>73</v>
      </c>
      <c r="H49" s="19">
        <v>34776.25</v>
      </c>
      <c r="I49" s="105">
        <v>11.2</v>
      </c>
    </row>
    <row r="50" spans="1:9">
      <c r="A50" s="104">
        <v>1792</v>
      </c>
      <c r="B50" s="18" t="s">
        <v>139</v>
      </c>
      <c r="C50" s="18" t="s">
        <v>140</v>
      </c>
      <c r="D50" s="18" t="s">
        <v>59</v>
      </c>
      <c r="E50" s="18" t="s">
        <v>141</v>
      </c>
      <c r="F50" s="18">
        <v>111</v>
      </c>
      <c r="G50" s="18" t="s">
        <v>61</v>
      </c>
      <c r="H50" s="19">
        <v>37979.25</v>
      </c>
      <c r="I50" s="105">
        <v>10.3</v>
      </c>
    </row>
    <row r="51" spans="1:9">
      <c r="A51" s="104">
        <v>1814</v>
      </c>
      <c r="B51" s="18" t="s">
        <v>142</v>
      </c>
      <c r="C51" s="18" t="s">
        <v>143</v>
      </c>
      <c r="D51" s="18" t="s">
        <v>83</v>
      </c>
      <c r="E51" s="18" t="s">
        <v>144</v>
      </c>
      <c r="F51" s="18">
        <v>103</v>
      </c>
      <c r="G51" s="18" t="s">
        <v>85</v>
      </c>
      <c r="H51" s="19">
        <v>37319.25</v>
      </c>
      <c r="I51" s="105">
        <v>12.25</v>
      </c>
    </row>
    <row r="52" spans="1:9">
      <c r="A52" s="104">
        <v>1908</v>
      </c>
      <c r="B52" s="18" t="s">
        <v>145</v>
      </c>
      <c r="C52" s="18" t="s">
        <v>146</v>
      </c>
      <c r="D52" s="18" t="s">
        <v>59</v>
      </c>
      <c r="E52" s="18" t="s">
        <v>147</v>
      </c>
      <c r="F52" s="18">
        <v>152</v>
      </c>
      <c r="G52" s="18" t="s">
        <v>61</v>
      </c>
      <c r="H52" s="19">
        <v>35565.25</v>
      </c>
      <c r="I52" s="105">
        <v>10.25</v>
      </c>
    </row>
    <row r="53" spans="1:9">
      <c r="A53" s="104">
        <v>1931</v>
      </c>
      <c r="B53" s="18" t="s">
        <v>113</v>
      </c>
      <c r="C53" s="18" t="s">
        <v>148</v>
      </c>
      <c r="D53" s="18" t="s">
        <v>76</v>
      </c>
      <c r="E53" s="18" t="s">
        <v>149</v>
      </c>
      <c r="F53" s="18">
        <v>110</v>
      </c>
      <c r="G53" s="18" t="s">
        <v>73</v>
      </c>
      <c r="H53" s="19">
        <v>37427.25</v>
      </c>
      <c r="I53" s="105">
        <v>9.85</v>
      </c>
    </row>
    <row r="54" spans="1:9">
      <c r="A54" s="104">
        <v>1960</v>
      </c>
      <c r="B54" s="18" t="s">
        <v>150</v>
      </c>
      <c r="C54" s="18" t="s">
        <v>151</v>
      </c>
      <c r="D54" s="18" t="s">
        <v>98</v>
      </c>
      <c r="E54" s="18" t="s">
        <v>152</v>
      </c>
      <c r="F54" s="18">
        <v>150</v>
      </c>
      <c r="G54" s="18" t="s">
        <v>61</v>
      </c>
      <c r="H54" s="19">
        <v>36477.25</v>
      </c>
      <c r="I54" s="105">
        <v>11.65</v>
      </c>
    </row>
    <row r="55" spans="1:9">
      <c r="A55" s="104">
        <v>1964</v>
      </c>
      <c r="B55" s="18" t="s">
        <v>153</v>
      </c>
      <c r="C55" s="18" t="s">
        <v>154</v>
      </c>
      <c r="D55" s="18" t="s">
        <v>76</v>
      </c>
      <c r="E55" s="18" t="s">
        <v>155</v>
      </c>
      <c r="F55" s="18">
        <v>108</v>
      </c>
      <c r="G55" s="18" t="s">
        <v>73</v>
      </c>
      <c r="H55" s="19">
        <v>38307.25</v>
      </c>
      <c r="I55" s="105">
        <v>9.25</v>
      </c>
    </row>
    <row r="56" spans="1:9">
      <c r="A56" s="104">
        <v>1975</v>
      </c>
      <c r="B56" s="18" t="s">
        <v>57</v>
      </c>
      <c r="C56" s="18" t="s">
        <v>156</v>
      </c>
      <c r="D56" s="18" t="s">
        <v>76</v>
      </c>
      <c r="E56" s="18" t="s">
        <v>157</v>
      </c>
      <c r="F56" s="18">
        <v>125</v>
      </c>
      <c r="G56" s="18" t="s">
        <v>73</v>
      </c>
      <c r="H56" s="19">
        <v>39873.25</v>
      </c>
      <c r="I56" s="105">
        <v>9.25</v>
      </c>
    </row>
    <row r="57" spans="1:9">
      <c r="A57" s="104">
        <v>1983</v>
      </c>
      <c r="B57" s="18" t="s">
        <v>153</v>
      </c>
      <c r="C57" s="18" t="s">
        <v>158</v>
      </c>
      <c r="D57" s="18" t="s">
        <v>59</v>
      </c>
      <c r="E57" s="18" t="s">
        <v>159</v>
      </c>
      <c r="F57" s="18">
        <v>154</v>
      </c>
      <c r="G57" s="18" t="s">
        <v>61</v>
      </c>
      <c r="H57" s="19">
        <v>40357.25</v>
      </c>
      <c r="I57" s="105">
        <v>11</v>
      </c>
    </row>
    <row r="58" spans="1:9">
      <c r="A58" s="104">
        <v>1990</v>
      </c>
      <c r="B58" s="18" t="s">
        <v>160</v>
      </c>
      <c r="C58" s="18" t="s">
        <v>161</v>
      </c>
      <c r="D58" s="18" t="s">
        <v>98</v>
      </c>
      <c r="E58" s="18" t="s">
        <v>162</v>
      </c>
      <c r="F58" s="18">
        <v>198</v>
      </c>
      <c r="G58" s="18" t="s">
        <v>61</v>
      </c>
      <c r="H58" s="19">
        <v>40588.25</v>
      </c>
      <c r="I58" s="105">
        <v>10.95</v>
      </c>
    </row>
    <row r="59" spans="1:9">
      <c r="A59" s="104">
        <v>1995</v>
      </c>
      <c r="B59" s="18" t="s">
        <v>113</v>
      </c>
      <c r="C59" s="18" t="s">
        <v>163</v>
      </c>
      <c r="D59" s="18" t="s">
        <v>59</v>
      </c>
      <c r="E59" s="18" t="s">
        <v>164</v>
      </c>
      <c r="F59" s="18">
        <v>198</v>
      </c>
      <c r="G59" s="18" t="s">
        <v>61</v>
      </c>
      <c r="H59" s="19">
        <v>40603.25</v>
      </c>
      <c r="I59" s="105">
        <v>11.75</v>
      </c>
    </row>
    <row r="60" spans="1:9">
      <c r="A60" s="109">
        <v>2006</v>
      </c>
      <c r="B60" s="100" t="s">
        <v>165</v>
      </c>
      <c r="C60" s="100" t="s">
        <v>166</v>
      </c>
      <c r="D60" s="100" t="s">
        <v>83</v>
      </c>
      <c r="E60" s="100" t="s">
        <v>167</v>
      </c>
      <c r="F60" s="100">
        <v>428</v>
      </c>
      <c r="G60" s="100" t="s">
        <v>85</v>
      </c>
      <c r="H60" s="101">
        <v>40729.25</v>
      </c>
      <c r="I60" s="110">
        <v>10.15</v>
      </c>
    </row>
    <row r="63" spans="1:9">
      <c r="A63" s="111" t="s">
        <v>41</v>
      </c>
      <c r="B63" s="14" t="s">
        <v>42</v>
      </c>
      <c r="C63" s="15" t="s">
        <v>43</v>
      </c>
      <c r="D63" s="14" t="s">
        <v>44</v>
      </c>
      <c r="E63" s="15" t="s">
        <v>36</v>
      </c>
      <c r="F63" s="14" t="s">
        <v>45</v>
      </c>
      <c r="G63" s="112" t="s">
        <v>46</v>
      </c>
    </row>
    <row r="64" spans="1:9">
      <c r="A64" s="111" t="s">
        <v>37</v>
      </c>
      <c r="B64" s="14">
        <v>120</v>
      </c>
      <c r="C64" s="16">
        <v>150</v>
      </c>
      <c r="D64" s="14">
        <v>135</v>
      </c>
      <c r="E64" s="16">
        <v>90</v>
      </c>
      <c r="F64" s="14">
        <v>95</v>
      </c>
      <c r="G64" s="113">
        <v>140</v>
      </c>
    </row>
    <row r="65" spans="1:7">
      <c r="A65" s="111" t="s">
        <v>38</v>
      </c>
      <c r="B65" s="14">
        <v>55</v>
      </c>
      <c r="C65" s="16">
        <v>110</v>
      </c>
      <c r="D65" s="14">
        <v>75</v>
      </c>
      <c r="E65" s="16">
        <v>95</v>
      </c>
      <c r="F65" s="14">
        <v>75</v>
      </c>
      <c r="G65" s="113">
        <v>55</v>
      </c>
    </row>
    <row r="66" spans="1:7">
      <c r="A66" s="111" t="s">
        <v>39</v>
      </c>
      <c r="B66" s="14">
        <v>70</v>
      </c>
      <c r="C66" s="16">
        <v>115</v>
      </c>
      <c r="D66" s="14">
        <v>65</v>
      </c>
      <c r="E66" s="16">
        <v>55</v>
      </c>
      <c r="F66" s="14">
        <v>85</v>
      </c>
      <c r="G66" s="113">
        <v>65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73EE2-51B6-43EA-B507-37029067F257}">
  <sheetPr codeName="Sheet2"/>
  <dimension ref="A1:F36"/>
  <sheetViews>
    <sheetView topLeftCell="A5" workbookViewId="0">
      <selection activeCell="A4" sqref="A4"/>
    </sheetView>
  </sheetViews>
  <sheetFormatPr defaultRowHeight="14.4"/>
  <cols>
    <col min="1" max="1" width="12.5546875" bestFit="1" customWidth="1"/>
    <col min="2" max="2" width="18.109375" bestFit="1" customWidth="1"/>
    <col min="3" max="3" width="12.109375" customWidth="1"/>
    <col min="4" max="4" width="16.21875" customWidth="1"/>
    <col min="5" max="5" width="22.109375" customWidth="1"/>
    <col min="6" max="6" width="27.6640625" customWidth="1"/>
    <col min="7" max="7" width="12.5546875" bestFit="1" customWidth="1"/>
    <col min="8" max="8" width="18.109375" bestFit="1" customWidth="1"/>
  </cols>
  <sheetData>
    <row r="1" spans="1:6">
      <c r="A1" t="s">
        <v>3552</v>
      </c>
      <c r="B1" t="s">
        <v>3553</v>
      </c>
      <c r="C1" t="s">
        <v>3554</v>
      </c>
      <c r="D1" t="s">
        <v>3555</v>
      </c>
      <c r="E1" t="s">
        <v>3556</v>
      </c>
      <c r="F1" t="s">
        <v>3558</v>
      </c>
    </row>
    <row r="2" spans="1:6">
      <c r="A2" s="116">
        <f>SUM(tblSales[Purchase])</f>
        <v>14257</v>
      </c>
      <c r="B2" s="115">
        <f>AVERAGE(tblSales[Purchase])</f>
        <v>712.85</v>
      </c>
      <c r="C2" s="115">
        <f>MAX(tblSales[Purchase])</f>
        <v>1000</v>
      </c>
      <c r="D2">
        <f>COUNTA(tblHR[Emp ID])</f>
        <v>38</v>
      </c>
      <c r="E2">
        <f>SUM(tblInventory[XP100],tblInventory[XP200],tblInventory[XP300],tblInventory[AX10],tblInventory[AX25],tblInventory[AX50])</f>
        <v>1650</v>
      </c>
      <c r="F2">
        <f>SUMPRODUCT((tblInventory[Product Code]="Warehouse 1")*(tblInventory[XP100]+tblInventory[XP200]+tblInventory[XP300]+tblInventory[AX10]+tblInventory[AX25]+tblInventory[AX50]))</f>
        <v>730</v>
      </c>
    </row>
    <row r="4" spans="1:6">
      <c r="A4" s="117" t="s">
        <v>3559</v>
      </c>
      <c r="B4" t="s">
        <v>3560</v>
      </c>
    </row>
    <row r="5" spans="1:6">
      <c r="A5" s="118" t="s">
        <v>3549</v>
      </c>
      <c r="B5" s="119">
        <v>780</v>
      </c>
    </row>
    <row r="6" spans="1:6">
      <c r="A6" s="118" t="s">
        <v>3535</v>
      </c>
      <c r="B6" s="119">
        <v>880</v>
      </c>
    </row>
    <row r="7" spans="1:6">
      <c r="A7" s="118" t="s">
        <v>3533</v>
      </c>
      <c r="B7" s="119">
        <v>910</v>
      </c>
    </row>
    <row r="8" spans="1:6">
      <c r="A8" s="118" t="s">
        <v>3516</v>
      </c>
      <c r="B8" s="119">
        <v>630</v>
      </c>
    </row>
    <row r="9" spans="1:6">
      <c r="A9" s="118" t="s">
        <v>3537</v>
      </c>
      <c r="B9" s="119">
        <v>710</v>
      </c>
    </row>
    <row r="10" spans="1:6">
      <c r="A10" s="118" t="s">
        <v>3543</v>
      </c>
      <c r="B10" s="119">
        <v>510</v>
      </c>
    </row>
    <row r="11" spans="1:6">
      <c r="A11" s="118" t="s">
        <v>3514</v>
      </c>
      <c r="B11" s="119">
        <v>540</v>
      </c>
    </row>
    <row r="12" spans="1:6">
      <c r="A12" s="118" t="s">
        <v>3547</v>
      </c>
      <c r="B12" s="119">
        <v>630</v>
      </c>
    </row>
    <row r="13" spans="1:6">
      <c r="A13" s="118" t="s">
        <v>3539</v>
      </c>
      <c r="B13" s="119">
        <v>680</v>
      </c>
    </row>
    <row r="14" spans="1:6">
      <c r="A14" s="118" t="s">
        <v>3526</v>
      </c>
      <c r="B14" s="119">
        <v>567</v>
      </c>
    </row>
    <row r="15" spans="1:6">
      <c r="A15" s="118" t="s">
        <v>3531</v>
      </c>
      <c r="B15" s="119">
        <v>800</v>
      </c>
    </row>
    <row r="16" spans="1:6">
      <c r="A16" s="118" t="s">
        <v>3529</v>
      </c>
      <c r="B16" s="119">
        <v>660</v>
      </c>
    </row>
    <row r="17" spans="1:2">
      <c r="A17" s="118" t="s">
        <v>3359</v>
      </c>
      <c r="B17" s="119">
        <v>550</v>
      </c>
    </row>
    <row r="18" spans="1:2">
      <c r="A18" s="118" t="s">
        <v>3545</v>
      </c>
      <c r="B18" s="119">
        <v>810</v>
      </c>
    </row>
    <row r="19" spans="1:2">
      <c r="A19" s="118" t="s">
        <v>3511</v>
      </c>
      <c r="B19" s="119">
        <v>290</v>
      </c>
    </row>
    <row r="20" spans="1:2">
      <c r="A20" s="118" t="s">
        <v>3491</v>
      </c>
      <c r="B20" s="119">
        <v>880</v>
      </c>
    </row>
    <row r="21" spans="1:2">
      <c r="A21" s="118" t="s">
        <v>116</v>
      </c>
      <c r="B21" s="119">
        <v>750</v>
      </c>
    </row>
    <row r="22" spans="1:2">
      <c r="A22" s="118" t="s">
        <v>3541</v>
      </c>
      <c r="B22" s="119">
        <v>880</v>
      </c>
    </row>
    <row r="23" spans="1:2">
      <c r="A23" s="118" t="s">
        <v>3523</v>
      </c>
      <c r="B23" s="119">
        <v>800</v>
      </c>
    </row>
    <row r="24" spans="1:2">
      <c r="A24" s="118" t="s">
        <v>3562</v>
      </c>
      <c r="B24" s="119">
        <v>1000</v>
      </c>
    </row>
    <row r="25" spans="1:2">
      <c r="A25" s="118" t="s">
        <v>3476</v>
      </c>
      <c r="B25" s="119">
        <v>14257</v>
      </c>
    </row>
    <row r="28" spans="1:2">
      <c r="A28" s="117" t="s">
        <v>3559</v>
      </c>
      <c r="B28" t="s">
        <v>3561</v>
      </c>
    </row>
    <row r="29" spans="1:2">
      <c r="A29" s="118" t="s">
        <v>76</v>
      </c>
      <c r="B29" s="119">
        <v>9.9428571428571413</v>
      </c>
    </row>
    <row r="30" spans="1:2">
      <c r="A30" s="118" t="s">
        <v>71</v>
      </c>
      <c r="B30" s="119">
        <v>12.17</v>
      </c>
    </row>
    <row r="31" spans="1:2">
      <c r="A31" s="118" t="s">
        <v>59</v>
      </c>
      <c r="B31" s="119">
        <v>11.824999999999999</v>
      </c>
    </row>
    <row r="32" spans="1:2">
      <c r="A32" s="118" t="s">
        <v>83</v>
      </c>
      <c r="B32" s="119">
        <v>10.408333333333333</v>
      </c>
    </row>
    <row r="33" spans="1:2">
      <c r="A33" s="118" t="s">
        <v>98</v>
      </c>
      <c r="B33" s="119">
        <v>11.758333333333333</v>
      </c>
    </row>
    <row r="34" spans="1:2">
      <c r="A34" s="118" t="s">
        <v>88</v>
      </c>
      <c r="B34" s="119">
        <v>12.51</v>
      </c>
    </row>
    <row r="35" spans="1:2">
      <c r="A35" s="118" t="s">
        <v>3564</v>
      </c>
      <c r="B35" s="119">
        <v>100</v>
      </c>
    </row>
    <row r="36" spans="1:2">
      <c r="A36" s="118" t="s">
        <v>3476</v>
      </c>
      <c r="B36" s="119">
        <v>13.699999999999998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C1000"/>
  <sheetViews>
    <sheetView workbookViewId="0"/>
  </sheetViews>
  <sheetFormatPr defaultColWidth="14.44140625" defaultRowHeight="15" customHeight="1"/>
  <cols>
    <col min="1" max="1" width="18.44140625" customWidth="1"/>
    <col min="2" max="2" width="30.88671875" customWidth="1"/>
    <col min="3" max="6" width="8.6640625" customWidth="1"/>
  </cols>
  <sheetData>
    <row r="1" spans="1:3" ht="14.25" customHeight="1">
      <c r="A1" s="1" t="s">
        <v>0</v>
      </c>
      <c r="B1" s="1" t="s">
        <v>1</v>
      </c>
      <c r="C1" s="1" t="s">
        <v>2</v>
      </c>
    </row>
    <row r="2" spans="1:3" ht="14.25" customHeight="1">
      <c r="A2" s="2">
        <v>1</v>
      </c>
      <c r="B2" s="3" t="s">
        <v>3</v>
      </c>
      <c r="C2" s="2"/>
    </row>
    <row r="3" spans="1:3" ht="14.25" customHeight="1">
      <c r="A3" s="2">
        <v>2</v>
      </c>
      <c r="B3" s="3" t="s">
        <v>4</v>
      </c>
      <c r="C3" s="2"/>
    </row>
    <row r="4" spans="1:3" ht="14.25" customHeight="1">
      <c r="A4" s="2">
        <v>3</v>
      </c>
      <c r="B4" s="3" t="s">
        <v>5</v>
      </c>
      <c r="C4" s="2"/>
    </row>
    <row r="5" spans="1:3" ht="14.25" customHeight="1">
      <c r="A5" s="2">
        <v>4</v>
      </c>
      <c r="B5" s="3" t="s">
        <v>6</v>
      </c>
      <c r="C5" s="2"/>
    </row>
    <row r="6" spans="1:3" ht="14.25" customHeight="1">
      <c r="A6" s="2">
        <v>5</v>
      </c>
      <c r="B6" s="3" t="s">
        <v>7</v>
      </c>
      <c r="C6" s="2"/>
    </row>
    <row r="7" spans="1:3" ht="14.25" customHeight="1">
      <c r="A7" s="2">
        <v>6</v>
      </c>
      <c r="B7" s="3" t="s">
        <v>8</v>
      </c>
      <c r="C7" s="2"/>
    </row>
    <row r="8" spans="1:3" ht="14.25" customHeight="1">
      <c r="A8" s="2">
        <v>7</v>
      </c>
      <c r="B8" s="3" t="s">
        <v>9</v>
      </c>
      <c r="C8" s="2"/>
    </row>
    <row r="9" spans="1:3" ht="14.25" customHeight="1">
      <c r="A9" s="2">
        <v>8</v>
      </c>
      <c r="B9" s="3" t="s">
        <v>10</v>
      </c>
      <c r="C9" s="2"/>
    </row>
    <row r="10" spans="1:3" ht="14.25" customHeight="1">
      <c r="A10" s="2">
        <v>9</v>
      </c>
      <c r="B10" s="3" t="s">
        <v>11</v>
      </c>
      <c r="C10" s="2"/>
    </row>
    <row r="11" spans="1:3" ht="14.25" customHeight="1">
      <c r="A11" s="2">
        <v>10</v>
      </c>
      <c r="B11" s="3" t="s">
        <v>12</v>
      </c>
      <c r="C11" s="2"/>
    </row>
    <row r="12" spans="1:3" ht="14.25" customHeight="1">
      <c r="A12" s="2">
        <v>11</v>
      </c>
      <c r="B12" s="3" t="s">
        <v>13</v>
      </c>
      <c r="C12" s="2"/>
    </row>
    <row r="13" spans="1:3" ht="14.25" customHeight="1">
      <c r="A13" s="2">
        <v>12</v>
      </c>
      <c r="B13" s="3" t="s">
        <v>14</v>
      </c>
      <c r="C13" s="2"/>
    </row>
    <row r="14" spans="1:3" ht="14.25" customHeight="1">
      <c r="A14" s="2">
        <v>13</v>
      </c>
      <c r="B14" s="3" t="s">
        <v>15</v>
      </c>
      <c r="C14" s="2"/>
    </row>
    <row r="15" spans="1:3" ht="14.25" customHeight="1">
      <c r="A15" s="2">
        <v>14</v>
      </c>
      <c r="B15" s="3" t="s">
        <v>16</v>
      </c>
      <c r="C15" s="2"/>
    </row>
    <row r="16" spans="1:3" ht="14.25" customHeight="1">
      <c r="A16" s="2">
        <v>15</v>
      </c>
      <c r="B16" s="3" t="s">
        <v>17</v>
      </c>
      <c r="C16" s="2"/>
    </row>
    <row r="17" spans="1:3" ht="14.25" customHeight="1">
      <c r="A17" s="2">
        <v>16</v>
      </c>
      <c r="B17" s="3" t="s">
        <v>18</v>
      </c>
      <c r="C17" s="2"/>
    </row>
    <row r="18" spans="1:3" ht="14.25" customHeight="1"/>
    <row r="19" spans="1:3" ht="14.25" customHeight="1"/>
    <row r="20" spans="1:3" ht="14.25" customHeight="1"/>
    <row r="21" spans="1:3" ht="14.25" customHeight="1"/>
    <row r="22" spans="1:3" ht="14.25" customHeight="1"/>
    <row r="23" spans="1:3" ht="14.25" customHeight="1"/>
    <row r="24" spans="1:3" ht="14.25" customHeight="1"/>
    <row r="25" spans="1:3" ht="14.25" customHeight="1"/>
    <row r="26" spans="1:3" ht="14.25" customHeight="1"/>
    <row r="27" spans="1:3" ht="14.25" customHeight="1"/>
    <row r="28" spans="1:3" ht="14.25" customHeight="1"/>
    <row r="29" spans="1:3" ht="14.25" customHeight="1"/>
    <row r="30" spans="1:3" ht="14.25" customHeight="1"/>
    <row r="31" spans="1:3" ht="14.25" customHeight="1"/>
    <row r="32" spans="1:3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ef="B2" location="Sheet1!A1" display="ANALYZE" xr:uid="{00000000-0004-0000-0000-000000000000}"/>
    <hyperlink ref="B3" location="Sheet2!A1" display="CONDUTIONAL FORMATTING-1" xr:uid="{00000000-0004-0000-0000-000001000000}"/>
    <hyperlink ref="B4" location="Sheet3!A1" display="LOGICAL OPERATION" xr:uid="{00000000-0004-0000-0000-000002000000}"/>
    <hyperlink ref="B5" location="Sheet4!A1" display="FORMULAS" xr:uid="{00000000-0004-0000-0000-000003000000}"/>
    <hyperlink ref="B6" location="Sheet5!A1" display="IF-FUNCTIONS-1" xr:uid="{00000000-0004-0000-0000-000004000000}"/>
    <hyperlink ref="B7" location="Sheet6!A1" display="PIVOT TABLE" xr:uid="{00000000-0004-0000-0000-000005000000}"/>
    <hyperlink ref="B8" location="Sheet7!A1" display="REPLACE" xr:uid="{00000000-0004-0000-0000-000006000000}"/>
    <hyperlink ref="B9" location="Sheet8!A1" display="IF-FUNCTIONS-2" xr:uid="{00000000-0004-0000-0000-000007000000}"/>
    <hyperlink ref="B10" location="Sheet9!A1" display="CONDUTIONAL FORMATTING-2" xr:uid="{00000000-0004-0000-0000-000008000000}"/>
    <hyperlink ref="B11" location="Sheet10!A1" display="CALCULATE" xr:uid="{00000000-0004-0000-0000-000009000000}"/>
    <hyperlink ref="B12" location="Sheet11!A1" display="ADVANCED LOGICAL OPERATIONS" xr:uid="{00000000-0004-0000-0000-00000A000000}"/>
    <hyperlink ref="B13" location="Sheet12!A1" display="DATA CLEANING FREEZE FIRST ROW" xr:uid="{00000000-0004-0000-0000-00000B000000}"/>
    <hyperlink ref="B14" location="Sheet13!A1" display="TEXT TO COLUMN" xr:uid="{00000000-0004-0000-0000-00000C000000}"/>
    <hyperlink ref="B15" location="Sheet14!A1" display="VLOOKUP" xr:uid="{00000000-0004-0000-0000-00000D000000}"/>
    <hyperlink ref="B16" location="Sheet15!A1" display="HLOOKUP" xr:uid="{00000000-0004-0000-0000-00000E000000}"/>
    <hyperlink ref="B17" location="CONSOLIDATE!A1" display="CONSOLIDATE" xr:uid="{00000000-0004-0000-0000-00000F000000}"/>
  </hyperlink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1000"/>
  <sheetViews>
    <sheetView workbookViewId="0">
      <selection sqref="A1:E1"/>
    </sheetView>
  </sheetViews>
  <sheetFormatPr defaultColWidth="14.44140625" defaultRowHeight="15" customHeight="1"/>
  <cols>
    <col min="1" max="1" width="11.33203125" customWidth="1"/>
    <col min="2" max="6" width="8.6640625" customWidth="1"/>
  </cols>
  <sheetData>
    <row r="1" spans="1:6" ht="14.25" customHeight="1">
      <c r="A1" s="72" t="s">
        <v>19</v>
      </c>
      <c r="B1" s="73"/>
      <c r="C1" s="73"/>
      <c r="D1" s="73"/>
      <c r="E1" s="73"/>
    </row>
    <row r="2" spans="1:6" ht="14.25" customHeight="1">
      <c r="A2" s="4"/>
      <c r="B2" s="4"/>
      <c r="C2" s="4"/>
      <c r="D2" s="4"/>
      <c r="E2" s="4"/>
    </row>
    <row r="3" spans="1:6" ht="14.25" customHeight="1">
      <c r="A3" s="5" t="s">
        <v>20</v>
      </c>
      <c r="B3" s="6" t="s">
        <v>21</v>
      </c>
      <c r="C3" s="6" t="s">
        <v>22</v>
      </c>
      <c r="D3" s="6" t="s">
        <v>23</v>
      </c>
      <c r="E3" s="6" t="s">
        <v>24</v>
      </c>
    </row>
    <row r="4" spans="1:6" ht="14.25" customHeight="1">
      <c r="A4" s="4" t="s">
        <v>25</v>
      </c>
      <c r="B4" s="4">
        <v>800</v>
      </c>
      <c r="C4" s="4">
        <v>2400</v>
      </c>
      <c r="D4" s="4">
        <v>3100</v>
      </c>
      <c r="E4" s="4">
        <v>1900</v>
      </c>
      <c r="F4" s="7">
        <v>400</v>
      </c>
    </row>
    <row r="5" spans="1:6" ht="14.25" customHeight="1">
      <c r="A5" s="4" t="s">
        <v>26</v>
      </c>
      <c r="B5" s="4">
        <v>900</v>
      </c>
      <c r="C5" s="4">
        <v>1100</v>
      </c>
      <c r="D5" s="4">
        <v>2700</v>
      </c>
      <c r="E5" s="4">
        <v>1300</v>
      </c>
      <c r="F5" s="7">
        <v>600</v>
      </c>
    </row>
    <row r="6" spans="1:6" ht="14.25" customHeight="1">
      <c r="A6" s="4" t="s">
        <v>27</v>
      </c>
      <c r="B6" s="4">
        <v>700</v>
      </c>
      <c r="C6" s="4">
        <v>1500</v>
      </c>
      <c r="D6" s="4">
        <v>2800</v>
      </c>
      <c r="E6" s="4">
        <v>1100</v>
      </c>
      <c r="F6" s="7">
        <v>100</v>
      </c>
    </row>
    <row r="7" spans="1:6" ht="14.25" customHeight="1">
      <c r="A7" s="4" t="s">
        <v>28</v>
      </c>
      <c r="B7" s="4">
        <v>600</v>
      </c>
      <c r="C7" s="4">
        <v>1200</v>
      </c>
      <c r="D7" s="4">
        <v>1400</v>
      </c>
      <c r="E7" s="4">
        <v>900</v>
      </c>
      <c r="F7" s="7">
        <v>200</v>
      </c>
    </row>
    <row r="8" spans="1:6" ht="14.25" customHeight="1">
      <c r="A8" s="4"/>
      <c r="B8" s="4"/>
      <c r="C8" s="4"/>
      <c r="D8" s="4"/>
      <c r="E8" s="4"/>
    </row>
    <row r="9" spans="1:6" ht="14.25" customHeight="1">
      <c r="A9" s="8" t="s">
        <v>29</v>
      </c>
      <c r="B9" s="9">
        <v>3000</v>
      </c>
      <c r="C9" s="9">
        <v>6200</v>
      </c>
      <c r="D9" s="9">
        <v>10000</v>
      </c>
      <c r="E9" s="9">
        <v>5200</v>
      </c>
      <c r="F9" s="10">
        <v>1300</v>
      </c>
    </row>
    <row r="10" spans="1:6" ht="14.25" customHeight="1"/>
    <row r="11" spans="1:6" ht="14.25" customHeight="1"/>
    <row r="12" spans="1:6" ht="14.25" customHeight="1"/>
    <row r="13" spans="1:6" ht="14.25" customHeight="1"/>
    <row r="14" spans="1:6" ht="14.25" customHeight="1"/>
    <row r="15" spans="1:6" ht="14.25" customHeight="1"/>
    <row r="16" spans="1: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1000"/>
  <sheetViews>
    <sheetView workbookViewId="0"/>
  </sheetViews>
  <sheetFormatPr defaultColWidth="14.44140625" defaultRowHeight="15" customHeight="1"/>
  <cols>
    <col min="1" max="1" width="11.33203125" customWidth="1"/>
    <col min="2" max="6" width="8.6640625" customWidth="1"/>
  </cols>
  <sheetData>
    <row r="1" spans="1:5" ht="14.25" customHeight="1">
      <c r="A1" s="72" t="s">
        <v>30</v>
      </c>
      <c r="B1" s="73"/>
      <c r="C1" s="73"/>
      <c r="D1" s="73"/>
      <c r="E1" s="73"/>
    </row>
    <row r="2" spans="1:5" ht="14.25" customHeight="1">
      <c r="A2" s="4"/>
      <c r="B2" s="4"/>
      <c r="C2" s="4"/>
      <c r="D2" s="4"/>
      <c r="E2" s="4"/>
    </row>
    <row r="3" spans="1:5" ht="14.25" customHeight="1">
      <c r="A3" s="5" t="s">
        <v>20</v>
      </c>
      <c r="B3" s="6" t="s">
        <v>21</v>
      </c>
      <c r="C3" s="6" t="s">
        <v>22</v>
      </c>
      <c r="D3" s="6" t="s">
        <v>23</v>
      </c>
      <c r="E3" s="6" t="s">
        <v>24</v>
      </c>
    </row>
    <row r="4" spans="1:5" ht="14.25" customHeight="1">
      <c r="A4" s="4" t="s">
        <v>25</v>
      </c>
      <c r="B4" s="4">
        <v>200</v>
      </c>
      <c r="C4" s="4">
        <v>600</v>
      </c>
      <c r="D4" s="4">
        <v>700</v>
      </c>
      <c r="E4" s="4">
        <v>400</v>
      </c>
    </row>
    <row r="5" spans="1:5" ht="14.25" customHeight="1">
      <c r="A5" s="4" t="s">
        <v>26</v>
      </c>
      <c r="B5" s="4">
        <v>300</v>
      </c>
      <c r="C5" s="4">
        <v>200</v>
      </c>
      <c r="D5" s="4">
        <v>500</v>
      </c>
      <c r="E5" s="4">
        <v>600</v>
      </c>
    </row>
    <row r="6" spans="1:5" ht="14.25" customHeight="1">
      <c r="A6" s="4" t="s">
        <v>27</v>
      </c>
      <c r="B6" s="4">
        <v>200</v>
      </c>
      <c r="C6" s="4">
        <v>400</v>
      </c>
      <c r="D6" s="4">
        <v>500</v>
      </c>
      <c r="E6" s="4">
        <v>100</v>
      </c>
    </row>
    <row r="7" spans="1:5" ht="14.25" customHeight="1">
      <c r="A7" s="4" t="s">
        <v>28</v>
      </c>
      <c r="B7" s="4">
        <v>300</v>
      </c>
      <c r="C7" s="4">
        <v>300</v>
      </c>
      <c r="D7" s="4">
        <v>100</v>
      </c>
      <c r="E7" s="4">
        <v>200</v>
      </c>
    </row>
    <row r="8" spans="1:5" ht="14.25" customHeight="1">
      <c r="A8" s="4"/>
      <c r="B8" s="4"/>
      <c r="C8" s="4"/>
      <c r="D8" s="4"/>
      <c r="E8" s="4"/>
    </row>
    <row r="9" spans="1:5" ht="14.25" customHeight="1">
      <c r="A9" s="8" t="s">
        <v>29</v>
      </c>
      <c r="B9" s="9">
        <f t="shared" ref="B9:E9" si="0">SUM(B4:B7)</f>
        <v>1000</v>
      </c>
      <c r="C9" s="9">
        <f t="shared" si="0"/>
        <v>1500</v>
      </c>
      <c r="D9" s="9">
        <f t="shared" si="0"/>
        <v>1800</v>
      </c>
      <c r="E9" s="9">
        <f t="shared" si="0"/>
        <v>1300</v>
      </c>
    </row>
    <row r="10" spans="1:5" ht="14.25" customHeight="1">
      <c r="A10" s="4"/>
      <c r="B10" s="4"/>
      <c r="C10" s="4"/>
      <c r="D10" s="4"/>
      <c r="E10" s="4"/>
    </row>
    <row r="11" spans="1:5" ht="14.25" customHeight="1"/>
    <row r="12" spans="1:5" ht="14.25" customHeight="1"/>
    <row r="13" spans="1:5" ht="14.25" customHeight="1"/>
    <row r="14" spans="1:5" ht="14.25" customHeight="1"/>
    <row r="15" spans="1:5" ht="14.25" customHeight="1"/>
    <row r="16" spans="1:5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1000"/>
  <sheetViews>
    <sheetView workbookViewId="0"/>
  </sheetViews>
  <sheetFormatPr defaultColWidth="14.44140625" defaultRowHeight="15" customHeight="1"/>
  <cols>
    <col min="1" max="6" width="8.6640625" customWidth="1"/>
  </cols>
  <sheetData>
    <row r="1" spans="1:5" ht="14.25" customHeight="1">
      <c r="A1" s="72" t="s">
        <v>31</v>
      </c>
      <c r="B1" s="73"/>
      <c r="C1" s="73"/>
      <c r="D1" s="73"/>
      <c r="E1" s="73"/>
    </row>
    <row r="2" spans="1:5" ht="14.25" customHeight="1">
      <c r="A2" s="4"/>
      <c r="B2" s="4"/>
      <c r="C2" s="4"/>
      <c r="D2" s="4"/>
      <c r="E2" s="4"/>
    </row>
    <row r="3" spans="1:5" ht="14.25" customHeight="1">
      <c r="A3" s="5" t="s">
        <v>20</v>
      </c>
      <c r="B3" s="6" t="s">
        <v>21</v>
      </c>
      <c r="C3" s="6" t="s">
        <v>22</v>
      </c>
      <c r="D3" s="6" t="s">
        <v>23</v>
      </c>
      <c r="E3" s="6" t="s">
        <v>24</v>
      </c>
    </row>
    <row r="4" spans="1:5" ht="14.25" customHeight="1">
      <c r="A4" s="4" t="s">
        <v>25</v>
      </c>
      <c r="B4" s="4">
        <v>400</v>
      </c>
      <c r="C4" s="4">
        <v>800</v>
      </c>
      <c r="D4" s="4">
        <v>900</v>
      </c>
      <c r="E4" s="4">
        <v>300</v>
      </c>
    </row>
    <row r="5" spans="1:5" ht="14.25" customHeight="1">
      <c r="A5" s="4" t="s">
        <v>26</v>
      </c>
      <c r="B5" s="4">
        <v>200</v>
      </c>
      <c r="C5" s="4">
        <v>500</v>
      </c>
      <c r="D5" s="4">
        <v>1200</v>
      </c>
      <c r="E5" s="4">
        <v>100</v>
      </c>
    </row>
    <row r="6" spans="1:5" ht="14.25" customHeight="1">
      <c r="A6" s="4" t="s">
        <v>27</v>
      </c>
      <c r="B6" s="4">
        <v>300</v>
      </c>
      <c r="C6" s="4">
        <v>400</v>
      </c>
      <c r="D6" s="4">
        <v>1400</v>
      </c>
      <c r="E6" s="4">
        <v>300</v>
      </c>
    </row>
    <row r="7" spans="1:5" ht="14.25" customHeight="1">
      <c r="A7" s="4" t="s">
        <v>28</v>
      </c>
      <c r="B7" s="4">
        <v>100</v>
      </c>
      <c r="C7" s="4">
        <v>300</v>
      </c>
      <c r="D7" s="4">
        <v>500</v>
      </c>
      <c r="E7" s="4">
        <v>300</v>
      </c>
    </row>
    <row r="8" spans="1:5" ht="14.25" customHeight="1">
      <c r="A8" s="4"/>
      <c r="B8" s="4"/>
      <c r="C8" s="4"/>
      <c r="D8" s="4"/>
      <c r="E8" s="4"/>
    </row>
    <row r="9" spans="1:5" ht="14.25" customHeight="1">
      <c r="A9" s="8" t="s">
        <v>29</v>
      </c>
      <c r="B9" s="9">
        <f t="shared" ref="B9:E9" si="0">SUM(B4:B7)</f>
        <v>1000</v>
      </c>
      <c r="C9" s="9">
        <f t="shared" si="0"/>
        <v>2000</v>
      </c>
      <c r="D9" s="9">
        <f t="shared" si="0"/>
        <v>4000</v>
      </c>
      <c r="E9" s="9">
        <f t="shared" si="0"/>
        <v>1000</v>
      </c>
    </row>
    <row r="10" spans="1:5" ht="14.25" customHeight="1"/>
    <row r="11" spans="1:5" ht="14.25" customHeight="1"/>
    <row r="12" spans="1:5" ht="14.25" customHeight="1"/>
    <row r="13" spans="1:5" ht="14.25" customHeight="1"/>
    <row r="14" spans="1:5" ht="14.25" customHeight="1"/>
    <row r="15" spans="1:5" ht="14.25" customHeight="1"/>
    <row r="16" spans="1:5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E1000"/>
  <sheetViews>
    <sheetView workbookViewId="0">
      <selection sqref="A1:E1"/>
    </sheetView>
  </sheetViews>
  <sheetFormatPr defaultColWidth="14.44140625" defaultRowHeight="15" customHeight="1"/>
  <cols>
    <col min="1" max="1" width="11.33203125" customWidth="1"/>
    <col min="2" max="6" width="8.6640625" customWidth="1"/>
  </cols>
  <sheetData>
    <row r="1" spans="1:5" ht="14.25" customHeight="1">
      <c r="A1" s="72" t="s">
        <v>32</v>
      </c>
      <c r="B1" s="73"/>
      <c r="C1" s="73"/>
      <c r="D1" s="73"/>
      <c r="E1" s="73"/>
    </row>
    <row r="2" spans="1:5" ht="14.25" customHeight="1">
      <c r="A2" s="4"/>
      <c r="B2" s="4"/>
      <c r="C2" s="4"/>
      <c r="D2" s="4"/>
      <c r="E2" s="4"/>
    </row>
    <row r="3" spans="1:5" ht="14.25" customHeight="1">
      <c r="A3" s="5" t="s">
        <v>20</v>
      </c>
      <c r="B3" s="6" t="s">
        <v>21</v>
      </c>
      <c r="C3" s="6" t="s">
        <v>22</v>
      </c>
      <c r="D3" s="6" t="s">
        <v>23</v>
      </c>
      <c r="E3" s="6" t="s">
        <v>24</v>
      </c>
    </row>
    <row r="4" spans="1:5" ht="14.25" customHeight="1">
      <c r="A4" s="4" t="s">
        <v>25</v>
      </c>
      <c r="B4" s="4">
        <v>200</v>
      </c>
      <c r="C4" s="4">
        <v>800</v>
      </c>
      <c r="D4" s="4">
        <v>900</v>
      </c>
      <c r="E4" s="4">
        <v>500</v>
      </c>
    </row>
    <row r="5" spans="1:5" ht="14.25" customHeight="1">
      <c r="A5" s="4" t="s">
        <v>26</v>
      </c>
      <c r="B5" s="4">
        <v>400</v>
      </c>
      <c r="C5" s="4">
        <v>100</v>
      </c>
      <c r="D5" s="4">
        <v>800</v>
      </c>
      <c r="E5" s="4">
        <v>100</v>
      </c>
    </row>
    <row r="6" spans="1:5" ht="14.25" customHeight="1">
      <c r="A6" s="4" t="s">
        <v>27</v>
      </c>
      <c r="B6" s="4">
        <v>200</v>
      </c>
      <c r="C6" s="4">
        <v>500</v>
      </c>
      <c r="D6" s="4">
        <v>500</v>
      </c>
      <c r="E6" s="4">
        <v>200</v>
      </c>
    </row>
    <row r="7" spans="1:5" ht="14.25" customHeight="1">
      <c r="A7" s="4" t="s">
        <v>28</v>
      </c>
      <c r="B7" s="4">
        <v>200</v>
      </c>
      <c r="C7" s="4">
        <v>300</v>
      </c>
      <c r="D7" s="4">
        <v>500</v>
      </c>
      <c r="E7" s="4">
        <v>300</v>
      </c>
    </row>
    <row r="8" spans="1:5" ht="14.25" customHeight="1">
      <c r="A8" s="4"/>
      <c r="B8" s="4"/>
      <c r="C8" s="4"/>
      <c r="D8" s="4"/>
      <c r="E8" s="4"/>
    </row>
    <row r="9" spans="1:5" ht="14.25" customHeight="1">
      <c r="A9" s="8" t="s">
        <v>29</v>
      </c>
      <c r="B9" s="9">
        <f t="shared" ref="B9:E9" si="0">SUM(B4:B7)</f>
        <v>1000</v>
      </c>
      <c r="C9" s="9">
        <f t="shared" si="0"/>
        <v>1700</v>
      </c>
      <c r="D9" s="9">
        <f t="shared" si="0"/>
        <v>2700</v>
      </c>
      <c r="E9" s="9">
        <f t="shared" si="0"/>
        <v>1100</v>
      </c>
    </row>
    <row r="10" spans="1:5" ht="14.25" customHeight="1"/>
    <row r="11" spans="1:5" ht="14.25" customHeight="1"/>
    <row r="12" spans="1:5" ht="14.25" customHeight="1"/>
    <row r="13" spans="1:5" ht="14.25" customHeight="1"/>
    <row r="14" spans="1:5" ht="14.25" customHeight="1"/>
    <row r="15" spans="1:5" ht="14.25" customHeight="1"/>
    <row r="16" spans="1:5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G1000"/>
  <sheetViews>
    <sheetView workbookViewId="0">
      <selection activeCell="A12" sqref="A12"/>
    </sheetView>
  </sheetViews>
  <sheetFormatPr defaultColWidth="14.44140625" defaultRowHeight="15" customHeight="1"/>
  <cols>
    <col min="1" max="1" width="18.109375" customWidth="1"/>
    <col min="2" max="2" width="9.33203125" customWidth="1"/>
    <col min="3" max="7" width="8.6640625" customWidth="1"/>
  </cols>
  <sheetData>
    <row r="1" spans="1:7" ht="14.25" customHeight="1"/>
    <row r="2" spans="1:7" ht="14.25" customHeight="1">
      <c r="A2" s="74" t="s">
        <v>33</v>
      </c>
      <c r="B2" s="75"/>
      <c r="C2" s="75"/>
      <c r="D2" s="75"/>
      <c r="E2" s="75"/>
      <c r="F2" s="75"/>
      <c r="G2" s="76"/>
    </row>
    <row r="3" spans="1:7" ht="14.25" customHeight="1">
      <c r="A3" s="11"/>
      <c r="B3" s="11"/>
      <c r="C3" s="11"/>
      <c r="D3" s="11"/>
      <c r="E3" s="11"/>
      <c r="F3" s="11"/>
      <c r="G3" s="11"/>
    </row>
    <row r="4" spans="1:7" ht="14.25" customHeight="1">
      <c r="A4" s="77" t="s">
        <v>34</v>
      </c>
      <c r="B4" s="78"/>
      <c r="C4" s="11"/>
      <c r="D4" s="11"/>
      <c r="E4" s="11"/>
      <c r="F4" s="11"/>
      <c r="G4" s="11"/>
    </row>
    <row r="5" spans="1:7" ht="14.25" customHeight="1">
      <c r="A5" s="12" t="s">
        <v>35</v>
      </c>
      <c r="B5" s="13" t="s">
        <v>36</v>
      </c>
      <c r="C5" s="11"/>
      <c r="D5" s="11"/>
      <c r="E5" s="11"/>
      <c r="F5" s="11"/>
      <c r="G5" s="11"/>
    </row>
    <row r="6" spans="1:7" ht="14.25" customHeight="1">
      <c r="A6" s="12" t="s">
        <v>37</v>
      </c>
      <c r="B6" s="14">
        <f t="shared" ref="B6:B8" si="0">HLOOKUP(E11,A11:G14,2,FALSE)</f>
        <v>90</v>
      </c>
      <c r="C6" s="11"/>
      <c r="D6" s="11"/>
      <c r="E6" s="11"/>
      <c r="F6" s="11"/>
      <c r="G6" s="11"/>
    </row>
    <row r="7" spans="1:7" ht="14.25" customHeight="1">
      <c r="A7" s="12" t="s">
        <v>38</v>
      </c>
      <c r="B7" s="14">
        <f t="shared" si="0"/>
        <v>95</v>
      </c>
      <c r="C7" s="11"/>
      <c r="D7" s="11"/>
      <c r="E7" s="11"/>
      <c r="F7" s="11"/>
      <c r="G7" s="11"/>
    </row>
    <row r="8" spans="1:7" ht="14.25" customHeight="1">
      <c r="A8" s="12" t="s">
        <v>39</v>
      </c>
      <c r="B8" s="14">
        <f t="shared" si="0"/>
        <v>55</v>
      </c>
      <c r="C8" s="11"/>
      <c r="D8" s="11"/>
      <c r="E8" s="11"/>
      <c r="F8" s="11"/>
      <c r="G8" s="11"/>
    </row>
    <row r="9" spans="1:7" ht="14.25" customHeight="1">
      <c r="A9" s="11"/>
      <c r="B9" s="11"/>
      <c r="C9" s="11"/>
      <c r="D9" s="11"/>
      <c r="E9" s="11"/>
      <c r="F9" s="11"/>
      <c r="G9" s="11"/>
    </row>
    <row r="10" spans="1:7" ht="14.25" customHeight="1">
      <c r="A10" s="114" t="s">
        <v>40</v>
      </c>
      <c r="B10" s="103"/>
      <c r="C10" s="103"/>
      <c r="D10" s="103"/>
      <c r="E10" s="103"/>
      <c r="F10" s="103"/>
      <c r="G10" s="103"/>
    </row>
    <row r="11" spans="1:7" ht="14.25" customHeight="1">
      <c r="A11" s="111" t="s">
        <v>3557</v>
      </c>
      <c r="B11" s="14" t="s">
        <v>42</v>
      </c>
      <c r="C11" s="15" t="s">
        <v>43</v>
      </c>
      <c r="D11" s="14" t="s">
        <v>44</v>
      </c>
      <c r="E11" s="15" t="s">
        <v>36</v>
      </c>
      <c r="F11" s="14" t="s">
        <v>45</v>
      </c>
      <c r="G11" s="112" t="s">
        <v>46</v>
      </c>
    </row>
    <row r="12" spans="1:7" ht="14.25" customHeight="1">
      <c r="A12" s="111" t="s">
        <v>37</v>
      </c>
      <c r="B12" s="14">
        <v>120</v>
      </c>
      <c r="C12" s="16">
        <v>150</v>
      </c>
      <c r="D12" s="14">
        <v>135</v>
      </c>
      <c r="E12" s="16">
        <v>90</v>
      </c>
      <c r="F12" s="14">
        <v>95</v>
      </c>
      <c r="G12" s="113">
        <v>140</v>
      </c>
    </row>
    <row r="13" spans="1:7" ht="14.25" customHeight="1">
      <c r="A13" s="111" t="s">
        <v>38</v>
      </c>
      <c r="B13" s="14">
        <v>55</v>
      </c>
      <c r="C13" s="16">
        <v>110</v>
      </c>
      <c r="D13" s="14">
        <v>75</v>
      </c>
      <c r="E13" s="16">
        <v>95</v>
      </c>
      <c r="F13" s="14">
        <v>75</v>
      </c>
      <c r="G13" s="113">
        <v>55</v>
      </c>
    </row>
    <row r="14" spans="1:7" ht="14.25" customHeight="1">
      <c r="A14" s="111" t="s">
        <v>39</v>
      </c>
      <c r="B14" s="14">
        <v>70</v>
      </c>
      <c r="C14" s="16">
        <v>115</v>
      </c>
      <c r="D14" s="14">
        <v>65</v>
      </c>
      <c r="E14" s="16">
        <v>55</v>
      </c>
      <c r="F14" s="14">
        <v>85</v>
      </c>
      <c r="G14" s="113">
        <v>65</v>
      </c>
    </row>
    <row r="15" spans="1:7" ht="14.25" customHeight="1"/>
    <row r="16" spans="1:7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2:G2"/>
    <mergeCell ref="A4:B4"/>
    <mergeCell ref="A10:G10"/>
  </mergeCells>
  <pageMargins left="0.7" right="0.7" top="0.75" bottom="0.75" header="0" footer="0"/>
  <pageSetup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90C83-95BE-461D-A615-4AE1D51E2D89}">
  <sheetPr codeName="Sheet9"/>
  <dimension ref="A1"/>
  <sheetViews>
    <sheetView workbookViewId="0">
      <selection activeCell="A3" sqref="A3"/>
    </sheetView>
  </sheetViews>
  <sheetFormatPr defaultRowHeight="14.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Q1000"/>
  <sheetViews>
    <sheetView tabSelected="1" topLeftCell="A54" workbookViewId="0">
      <selection activeCell="N9" sqref="N9"/>
    </sheetView>
  </sheetViews>
  <sheetFormatPr defaultColWidth="14.44140625" defaultRowHeight="15" customHeight="1"/>
  <cols>
    <col min="1" max="1" width="8.88671875" customWidth="1"/>
    <col min="2" max="2" width="11.6640625" customWidth="1"/>
    <col min="3" max="3" width="11.77734375" customWidth="1"/>
    <col min="4" max="5" width="8.6640625" customWidth="1"/>
    <col min="6" max="6" width="11.33203125" customWidth="1"/>
    <col min="7" max="7" width="10.109375" customWidth="1"/>
    <col min="8" max="8" width="10.5546875" customWidth="1"/>
    <col min="9" max="9" width="10.21875" customWidth="1"/>
    <col min="10" max="12" width="8.6640625" customWidth="1"/>
    <col min="13" max="13" width="7" customWidth="1"/>
    <col min="14" max="14" width="21.77734375" customWidth="1"/>
    <col min="15" max="15" width="17.6640625" customWidth="1"/>
    <col min="16" max="16" width="5.44140625" customWidth="1"/>
    <col min="17" max="17" width="8.33203125" customWidth="1"/>
  </cols>
  <sheetData>
    <row r="1" spans="1:17" ht="14.25" customHeight="1">
      <c r="A1" s="102" t="s">
        <v>47</v>
      </c>
      <c r="B1" s="103"/>
      <c r="C1" s="103"/>
      <c r="D1" s="103"/>
      <c r="E1" s="103"/>
      <c r="F1" s="103"/>
      <c r="G1" s="103"/>
      <c r="H1" s="103"/>
      <c r="I1" s="103"/>
    </row>
    <row r="2" spans="1:17" ht="14.25" customHeight="1" thickBot="1">
      <c r="A2" s="84"/>
      <c r="B2" s="84"/>
      <c r="C2" s="84"/>
      <c r="D2" s="84"/>
      <c r="E2" s="84"/>
      <c r="F2" s="84"/>
      <c r="G2" s="84"/>
      <c r="H2" s="84"/>
      <c r="I2" s="84"/>
    </row>
    <row r="3" spans="1:17" ht="14.25" customHeight="1" thickTop="1">
      <c r="A3" s="106" t="s">
        <v>48</v>
      </c>
      <c r="B3" s="107" t="s">
        <v>49</v>
      </c>
      <c r="C3" s="107" t="s">
        <v>50</v>
      </c>
      <c r="D3" s="107" t="s">
        <v>51</v>
      </c>
      <c r="E3" s="107" t="s">
        <v>52</v>
      </c>
      <c r="F3" s="107" t="s">
        <v>53</v>
      </c>
      <c r="G3" s="107" t="s">
        <v>54</v>
      </c>
      <c r="H3" s="107" t="s">
        <v>55</v>
      </c>
      <c r="I3" s="108" t="s">
        <v>56</v>
      </c>
    </row>
    <row r="4" spans="1:17" ht="14.25" customHeight="1">
      <c r="A4" s="104">
        <v>1054</v>
      </c>
      <c r="B4" s="18" t="s">
        <v>57</v>
      </c>
      <c r="C4" s="18" t="s">
        <v>58</v>
      </c>
      <c r="D4" s="18" t="s">
        <v>59</v>
      </c>
      <c r="E4" s="18" t="s">
        <v>60</v>
      </c>
      <c r="F4" s="18">
        <v>148</v>
      </c>
      <c r="G4" s="18" t="s">
        <v>61</v>
      </c>
      <c r="H4" s="19">
        <v>38092.25</v>
      </c>
      <c r="I4" s="105">
        <v>11.25</v>
      </c>
    </row>
    <row r="5" spans="1:17" ht="14.25" customHeight="1">
      <c r="A5" s="104">
        <v>1056</v>
      </c>
      <c r="B5" s="18" t="s">
        <v>62</v>
      </c>
      <c r="C5" s="18" t="s">
        <v>63</v>
      </c>
      <c r="D5" s="18" t="s">
        <v>59</v>
      </c>
      <c r="E5" s="18" t="s">
        <v>64</v>
      </c>
      <c r="F5" s="18">
        <v>121</v>
      </c>
      <c r="G5" s="18" t="s">
        <v>61</v>
      </c>
      <c r="H5" s="19">
        <v>33901.25</v>
      </c>
      <c r="I5" s="105">
        <v>12.25</v>
      </c>
      <c r="M5" s="79" t="s">
        <v>65</v>
      </c>
      <c r="N5" s="80"/>
      <c r="O5" s="80"/>
      <c r="P5" s="80"/>
      <c r="Q5" s="81"/>
    </row>
    <row r="6" spans="1:17" ht="14.25" customHeight="1" thickBot="1">
      <c r="A6" s="104">
        <v>1067</v>
      </c>
      <c r="B6" s="18" t="s">
        <v>66</v>
      </c>
      <c r="C6" s="18" t="s">
        <v>67</v>
      </c>
      <c r="D6" s="18" t="s">
        <v>59</v>
      </c>
      <c r="E6" s="18" t="s">
        <v>68</v>
      </c>
      <c r="F6" s="18">
        <v>123</v>
      </c>
      <c r="G6" s="18" t="s">
        <v>61</v>
      </c>
      <c r="H6" s="19">
        <v>36788.25</v>
      </c>
      <c r="I6" s="105">
        <v>14.55</v>
      </c>
      <c r="M6" s="82"/>
      <c r="N6" s="83"/>
      <c r="O6" s="83"/>
      <c r="P6" s="83"/>
      <c r="Q6" s="84"/>
    </row>
    <row r="7" spans="1:17" ht="14.25" customHeight="1" thickTop="1">
      <c r="A7" s="104">
        <v>1075</v>
      </c>
      <c r="B7" s="18" t="s">
        <v>69</v>
      </c>
      <c r="C7" s="18" t="s">
        <v>70</v>
      </c>
      <c r="D7" s="18" t="s">
        <v>71</v>
      </c>
      <c r="E7" s="18" t="s">
        <v>72</v>
      </c>
      <c r="F7" s="18">
        <v>126</v>
      </c>
      <c r="G7" s="18" t="s">
        <v>73</v>
      </c>
      <c r="H7" s="19">
        <v>38571.25</v>
      </c>
      <c r="I7" s="105">
        <v>11.25</v>
      </c>
      <c r="M7" s="17" t="s">
        <v>48</v>
      </c>
      <c r="N7" s="17" t="s">
        <v>49</v>
      </c>
      <c r="O7" s="17" t="s">
        <v>50</v>
      </c>
      <c r="P7" s="17" t="s">
        <v>51</v>
      </c>
      <c r="Q7" s="17" t="s">
        <v>56</v>
      </c>
    </row>
    <row r="8" spans="1:17" ht="14.25" customHeight="1">
      <c r="A8" s="104">
        <v>1078</v>
      </c>
      <c r="B8" s="18" t="s">
        <v>74</v>
      </c>
      <c r="C8" s="18" t="s">
        <v>75</v>
      </c>
      <c r="D8" s="18" t="s">
        <v>76</v>
      </c>
      <c r="E8" s="18" t="s">
        <v>77</v>
      </c>
      <c r="F8" s="18">
        <v>101</v>
      </c>
      <c r="G8" s="18" t="s">
        <v>73</v>
      </c>
      <c r="H8" s="19">
        <v>36251.25</v>
      </c>
      <c r="I8" s="105">
        <v>10.199999999999999</v>
      </c>
      <c r="M8" s="20">
        <v>43</v>
      </c>
      <c r="N8" s="125" t="str">
        <f>VLOOKUP(M8,A4:I41,2,FALSE)</f>
        <v>Nepram</v>
      </c>
      <c r="O8" s="125" t="str">
        <f>VLOOKUP(M8,A4:I41,3,FALSE)</f>
        <v>Deepak</v>
      </c>
      <c r="P8" s="125" t="str">
        <f>VLOOKUP(M8,A4:I41,4,FALSE)</f>
        <v>BA</v>
      </c>
      <c r="Q8" s="124">
        <f>VLOOKUP(M8,A4:I41,9,FALSE)</f>
        <v>100</v>
      </c>
    </row>
    <row r="9" spans="1:17" ht="14.25" customHeight="1">
      <c r="A9" s="104">
        <v>1152</v>
      </c>
      <c r="B9" s="18" t="s">
        <v>78</v>
      </c>
      <c r="C9" s="18" t="s">
        <v>79</v>
      </c>
      <c r="D9" s="18" t="s">
        <v>71</v>
      </c>
      <c r="E9" s="18" t="s">
        <v>80</v>
      </c>
      <c r="F9" s="18">
        <v>118</v>
      </c>
      <c r="G9" s="18" t="s">
        <v>73</v>
      </c>
      <c r="H9" s="19">
        <v>37642.25</v>
      </c>
      <c r="I9" s="105">
        <v>12.25</v>
      </c>
    </row>
    <row r="10" spans="1:17" ht="14.25" customHeight="1">
      <c r="A10" s="104">
        <v>1196</v>
      </c>
      <c r="B10" s="18" t="s">
        <v>81</v>
      </c>
      <c r="C10" s="18" t="s">
        <v>82</v>
      </c>
      <c r="D10" s="18" t="s">
        <v>83</v>
      </c>
      <c r="E10" s="18" t="s">
        <v>84</v>
      </c>
      <c r="F10" s="18">
        <v>289</v>
      </c>
      <c r="G10" s="18" t="s">
        <v>85</v>
      </c>
      <c r="H10" s="19">
        <v>40634.25</v>
      </c>
      <c r="I10" s="105">
        <v>9.9499999999999993</v>
      </c>
    </row>
    <row r="11" spans="1:17" ht="14.25" customHeight="1">
      <c r="A11" s="104">
        <v>1284</v>
      </c>
      <c r="B11" s="18" t="s">
        <v>86</v>
      </c>
      <c r="C11" s="18" t="s">
        <v>87</v>
      </c>
      <c r="D11" s="18" t="s">
        <v>88</v>
      </c>
      <c r="E11" s="18" t="s">
        <v>89</v>
      </c>
      <c r="F11" s="18">
        <v>124</v>
      </c>
      <c r="G11" s="18" t="s">
        <v>61</v>
      </c>
      <c r="H11" s="19">
        <v>35799.25</v>
      </c>
      <c r="I11" s="105">
        <v>12.3</v>
      </c>
    </row>
    <row r="12" spans="1:17" ht="14.25" customHeight="1">
      <c r="A12" s="104">
        <v>1290</v>
      </c>
      <c r="B12" s="18" t="s">
        <v>90</v>
      </c>
      <c r="C12" s="18" t="s">
        <v>91</v>
      </c>
      <c r="D12" s="18" t="s">
        <v>71</v>
      </c>
      <c r="E12" s="18" t="s">
        <v>92</v>
      </c>
      <c r="F12" s="18">
        <v>113</v>
      </c>
      <c r="G12" s="18" t="s">
        <v>73</v>
      </c>
      <c r="H12" s="19">
        <v>35798.25</v>
      </c>
      <c r="I12" s="105">
        <v>13.25</v>
      </c>
    </row>
    <row r="13" spans="1:17" ht="14.25" customHeight="1">
      <c r="A13" s="104">
        <v>1293</v>
      </c>
      <c r="B13" s="18" t="s">
        <v>93</v>
      </c>
      <c r="C13" s="18" t="s">
        <v>94</v>
      </c>
      <c r="D13" s="18" t="s">
        <v>83</v>
      </c>
      <c r="E13" s="18" t="s">
        <v>95</v>
      </c>
      <c r="F13" s="18">
        <v>205</v>
      </c>
      <c r="G13" s="18" t="s">
        <v>85</v>
      </c>
      <c r="H13" s="19">
        <v>35687.25</v>
      </c>
      <c r="I13" s="105">
        <v>10.199999999999999</v>
      </c>
    </row>
    <row r="14" spans="1:17" ht="14.25" customHeight="1">
      <c r="A14" s="104">
        <v>1299</v>
      </c>
      <c r="B14" s="18" t="s">
        <v>96</v>
      </c>
      <c r="C14" s="18" t="s">
        <v>97</v>
      </c>
      <c r="D14" s="18" t="s">
        <v>98</v>
      </c>
      <c r="E14" s="18" t="s">
        <v>99</v>
      </c>
      <c r="F14" s="18">
        <v>127</v>
      </c>
      <c r="G14" s="18" t="s">
        <v>61</v>
      </c>
      <c r="H14" s="19">
        <v>37611.25</v>
      </c>
      <c r="I14" s="105">
        <v>12.2</v>
      </c>
    </row>
    <row r="15" spans="1:17" ht="14.25" customHeight="1">
      <c r="A15" s="104">
        <v>1302</v>
      </c>
      <c r="B15" s="18" t="s">
        <v>57</v>
      </c>
      <c r="C15" s="18" t="s">
        <v>100</v>
      </c>
      <c r="D15" s="18" t="s">
        <v>88</v>
      </c>
      <c r="E15" s="18" t="s">
        <v>101</v>
      </c>
      <c r="F15" s="18">
        <v>139</v>
      </c>
      <c r="G15" s="18" t="s">
        <v>61</v>
      </c>
      <c r="H15" s="19">
        <v>35648.25</v>
      </c>
      <c r="I15" s="105">
        <v>14.25</v>
      </c>
    </row>
    <row r="16" spans="1:17" ht="14.25" customHeight="1">
      <c r="A16" s="104">
        <v>1310</v>
      </c>
      <c r="B16" s="18" t="s">
        <v>57</v>
      </c>
      <c r="C16" s="18" t="s">
        <v>102</v>
      </c>
      <c r="D16" s="18" t="s">
        <v>98</v>
      </c>
      <c r="E16" s="18" t="s">
        <v>103</v>
      </c>
      <c r="F16" s="18">
        <v>137</v>
      </c>
      <c r="G16" s="18" t="s">
        <v>61</v>
      </c>
      <c r="H16" s="19">
        <v>36437.25</v>
      </c>
      <c r="I16" s="105">
        <v>11.5</v>
      </c>
    </row>
    <row r="17" spans="1:9" ht="14.25" customHeight="1">
      <c r="A17" s="104">
        <v>1329</v>
      </c>
      <c r="B17" s="18" t="s">
        <v>104</v>
      </c>
      <c r="C17" s="18" t="s">
        <v>105</v>
      </c>
      <c r="D17" s="18" t="s">
        <v>76</v>
      </c>
      <c r="E17" s="18" t="s">
        <v>106</v>
      </c>
      <c r="F17" s="18">
        <v>151</v>
      </c>
      <c r="G17" s="18" t="s">
        <v>73</v>
      </c>
      <c r="H17" s="19">
        <v>37309.25</v>
      </c>
      <c r="I17" s="105">
        <v>10.35</v>
      </c>
    </row>
    <row r="18" spans="1:9" ht="14.25" customHeight="1">
      <c r="A18" s="104">
        <v>1333</v>
      </c>
      <c r="B18" s="18" t="s">
        <v>107</v>
      </c>
      <c r="C18" s="18" t="s">
        <v>108</v>
      </c>
      <c r="D18" s="18" t="s">
        <v>83</v>
      </c>
      <c r="E18" s="18" t="s">
        <v>109</v>
      </c>
      <c r="F18" s="18">
        <v>122</v>
      </c>
      <c r="G18" s="18" t="s">
        <v>85</v>
      </c>
      <c r="H18" s="19">
        <v>37727.25</v>
      </c>
      <c r="I18" s="105">
        <v>10.15</v>
      </c>
    </row>
    <row r="19" spans="1:9" ht="14.25" customHeight="1">
      <c r="A19" s="104">
        <v>1368</v>
      </c>
      <c r="B19" s="18" t="s">
        <v>110</v>
      </c>
      <c r="C19" s="18" t="s">
        <v>111</v>
      </c>
      <c r="D19" s="18" t="s">
        <v>71</v>
      </c>
      <c r="E19" s="18" t="s">
        <v>112</v>
      </c>
      <c r="F19" s="18">
        <v>132</v>
      </c>
      <c r="G19" s="18" t="s">
        <v>73</v>
      </c>
      <c r="H19" s="19">
        <v>35134.25</v>
      </c>
      <c r="I19" s="105">
        <v>12.25</v>
      </c>
    </row>
    <row r="20" spans="1:9" ht="14.25" customHeight="1">
      <c r="A20" s="104">
        <v>1509</v>
      </c>
      <c r="B20" s="18" t="s">
        <v>113</v>
      </c>
      <c r="C20" s="18" t="s">
        <v>114</v>
      </c>
      <c r="D20" s="18" t="s">
        <v>59</v>
      </c>
      <c r="E20" s="18" t="s">
        <v>115</v>
      </c>
      <c r="F20" s="18">
        <v>135</v>
      </c>
      <c r="G20" s="18" t="s">
        <v>61</v>
      </c>
      <c r="H20" s="19">
        <v>35965.25</v>
      </c>
      <c r="I20" s="105">
        <v>13.25</v>
      </c>
    </row>
    <row r="21" spans="1:9" ht="14.25" customHeight="1">
      <c r="A21" s="104">
        <v>1516</v>
      </c>
      <c r="B21" s="18" t="s">
        <v>57</v>
      </c>
      <c r="C21" s="18" t="s">
        <v>116</v>
      </c>
      <c r="D21" s="18" t="s">
        <v>76</v>
      </c>
      <c r="E21" s="18" t="s">
        <v>117</v>
      </c>
      <c r="F21" s="18">
        <v>105</v>
      </c>
      <c r="G21" s="18" t="s">
        <v>73</v>
      </c>
      <c r="H21" s="19">
        <v>35860.25</v>
      </c>
      <c r="I21" s="105">
        <v>9.5</v>
      </c>
    </row>
    <row r="22" spans="1:9" ht="14.25" customHeight="1">
      <c r="A22" s="104">
        <v>1529</v>
      </c>
      <c r="B22" s="18" t="s">
        <v>118</v>
      </c>
      <c r="C22" s="18" t="s">
        <v>119</v>
      </c>
      <c r="D22" s="18" t="s">
        <v>88</v>
      </c>
      <c r="E22" s="18" t="s">
        <v>120</v>
      </c>
      <c r="F22" s="18">
        <v>129</v>
      </c>
      <c r="G22" s="18" t="s">
        <v>61</v>
      </c>
      <c r="H22" s="19">
        <v>36553.25</v>
      </c>
      <c r="I22" s="105">
        <v>11.3</v>
      </c>
    </row>
    <row r="23" spans="1:9" ht="14.25" customHeight="1">
      <c r="A23" s="104">
        <v>1656</v>
      </c>
      <c r="B23" s="18" t="s">
        <v>121</v>
      </c>
      <c r="C23" s="18" t="s">
        <v>122</v>
      </c>
      <c r="D23" s="18" t="s">
        <v>98</v>
      </c>
      <c r="E23" s="18" t="s">
        <v>123</v>
      </c>
      <c r="F23" s="18">
        <v>149</v>
      </c>
      <c r="G23" s="18" t="s">
        <v>61</v>
      </c>
      <c r="H23" s="19">
        <v>36873.25</v>
      </c>
      <c r="I23" s="105">
        <v>12.35</v>
      </c>
    </row>
    <row r="24" spans="1:9" ht="14.25" customHeight="1">
      <c r="A24" s="104">
        <v>1672</v>
      </c>
      <c r="B24" s="18" t="s">
        <v>124</v>
      </c>
      <c r="C24" s="18" t="s">
        <v>125</v>
      </c>
      <c r="D24" s="18" t="s">
        <v>98</v>
      </c>
      <c r="E24" s="18" t="s">
        <v>126</v>
      </c>
      <c r="F24" s="18">
        <v>114</v>
      </c>
      <c r="G24" s="18" t="s">
        <v>61</v>
      </c>
      <c r="H24" s="19">
        <v>37727.25</v>
      </c>
      <c r="I24" s="105">
        <v>11.9</v>
      </c>
    </row>
    <row r="25" spans="1:9" ht="14.25" customHeight="1">
      <c r="A25" s="104">
        <v>1673</v>
      </c>
      <c r="B25" s="18" t="s">
        <v>127</v>
      </c>
      <c r="C25" s="18" t="s">
        <v>87</v>
      </c>
      <c r="D25" s="18" t="s">
        <v>71</v>
      </c>
      <c r="E25" s="18" t="s">
        <v>128</v>
      </c>
      <c r="F25" s="18">
        <v>112</v>
      </c>
      <c r="G25" s="18" t="s">
        <v>73</v>
      </c>
      <c r="H25" s="19">
        <v>38436.25</v>
      </c>
      <c r="I25" s="105">
        <v>11.85</v>
      </c>
    </row>
    <row r="26" spans="1:9" ht="14.25" customHeight="1">
      <c r="A26" s="104">
        <v>1676</v>
      </c>
      <c r="B26" s="18" t="s">
        <v>113</v>
      </c>
      <c r="C26" s="18" t="s">
        <v>129</v>
      </c>
      <c r="D26" s="18" t="s">
        <v>88</v>
      </c>
      <c r="E26" s="18" t="s">
        <v>130</v>
      </c>
      <c r="F26" s="18">
        <v>115</v>
      </c>
      <c r="G26" s="18" t="s">
        <v>61</v>
      </c>
      <c r="H26" s="19">
        <v>34633.25</v>
      </c>
      <c r="I26" s="105">
        <v>10.75</v>
      </c>
    </row>
    <row r="27" spans="1:9" ht="14.25" customHeight="1">
      <c r="A27" s="104">
        <v>1721</v>
      </c>
      <c r="B27" s="18" t="s">
        <v>131</v>
      </c>
      <c r="C27" s="18" t="s">
        <v>132</v>
      </c>
      <c r="D27" s="18" t="s">
        <v>83</v>
      </c>
      <c r="E27" s="18" t="s">
        <v>133</v>
      </c>
      <c r="F27" s="18">
        <v>102</v>
      </c>
      <c r="G27" s="18" t="s">
        <v>85</v>
      </c>
      <c r="H27" s="19">
        <v>37839.25</v>
      </c>
      <c r="I27" s="105">
        <v>9.75</v>
      </c>
    </row>
    <row r="28" spans="1:9" ht="14.25" customHeight="1">
      <c r="A28" s="104">
        <v>1723</v>
      </c>
      <c r="B28" s="18" t="s">
        <v>134</v>
      </c>
      <c r="C28" s="18" t="s">
        <v>79</v>
      </c>
      <c r="D28" s="18" t="s">
        <v>88</v>
      </c>
      <c r="E28" s="18" t="s">
        <v>135</v>
      </c>
      <c r="F28" s="18">
        <v>145</v>
      </c>
      <c r="G28" s="18" t="s">
        <v>61</v>
      </c>
      <c r="H28" s="19">
        <v>33279.25</v>
      </c>
      <c r="I28" s="105">
        <v>13.95</v>
      </c>
    </row>
    <row r="29" spans="1:9" ht="14.25" customHeight="1">
      <c r="A29" s="104">
        <v>1758</v>
      </c>
      <c r="B29" s="18" t="s">
        <v>136</v>
      </c>
      <c r="C29" s="18" t="s">
        <v>137</v>
      </c>
      <c r="D29" s="18" t="s">
        <v>76</v>
      </c>
      <c r="E29" s="18" t="s">
        <v>138</v>
      </c>
      <c r="F29" s="18">
        <v>107</v>
      </c>
      <c r="G29" s="18" t="s">
        <v>73</v>
      </c>
      <c r="H29" s="19">
        <v>34776.25</v>
      </c>
      <c r="I29" s="105">
        <v>11.2</v>
      </c>
    </row>
    <row r="30" spans="1:9" ht="14.25" customHeight="1">
      <c r="A30" s="104">
        <v>1792</v>
      </c>
      <c r="B30" s="18" t="s">
        <v>139</v>
      </c>
      <c r="C30" s="18" t="s">
        <v>140</v>
      </c>
      <c r="D30" s="18" t="s">
        <v>59</v>
      </c>
      <c r="E30" s="18" t="s">
        <v>141</v>
      </c>
      <c r="F30" s="18">
        <v>111</v>
      </c>
      <c r="G30" s="18" t="s">
        <v>61</v>
      </c>
      <c r="H30" s="19">
        <v>37979.25</v>
      </c>
      <c r="I30" s="105">
        <v>10.3</v>
      </c>
    </row>
    <row r="31" spans="1:9" ht="14.25" customHeight="1">
      <c r="A31" s="104">
        <v>1814</v>
      </c>
      <c r="B31" s="18" t="s">
        <v>142</v>
      </c>
      <c r="C31" s="18" t="s">
        <v>143</v>
      </c>
      <c r="D31" s="18" t="s">
        <v>83</v>
      </c>
      <c r="E31" s="18" t="s">
        <v>144</v>
      </c>
      <c r="F31" s="18">
        <v>103</v>
      </c>
      <c r="G31" s="18" t="s">
        <v>85</v>
      </c>
      <c r="H31" s="19">
        <v>37319.25</v>
      </c>
      <c r="I31" s="105">
        <v>12.25</v>
      </c>
    </row>
    <row r="32" spans="1:9" ht="14.25" customHeight="1">
      <c r="A32" s="104">
        <v>1908</v>
      </c>
      <c r="B32" s="18" t="s">
        <v>145</v>
      </c>
      <c r="C32" s="18" t="s">
        <v>146</v>
      </c>
      <c r="D32" s="18" t="s">
        <v>59</v>
      </c>
      <c r="E32" s="18" t="s">
        <v>147</v>
      </c>
      <c r="F32" s="18">
        <v>152</v>
      </c>
      <c r="G32" s="18" t="s">
        <v>61</v>
      </c>
      <c r="H32" s="19">
        <v>35565.25</v>
      </c>
      <c r="I32" s="105">
        <v>10.25</v>
      </c>
    </row>
    <row r="33" spans="1:9" ht="14.25" customHeight="1">
      <c r="A33" s="104">
        <v>1931</v>
      </c>
      <c r="B33" s="18" t="s">
        <v>113</v>
      </c>
      <c r="C33" s="18" t="s">
        <v>148</v>
      </c>
      <c r="D33" s="18" t="s">
        <v>76</v>
      </c>
      <c r="E33" s="18" t="s">
        <v>149</v>
      </c>
      <c r="F33" s="18">
        <v>110</v>
      </c>
      <c r="G33" s="18" t="s">
        <v>73</v>
      </c>
      <c r="H33" s="19">
        <v>37427.25</v>
      </c>
      <c r="I33" s="105">
        <v>9.85</v>
      </c>
    </row>
    <row r="34" spans="1:9" ht="14.25" customHeight="1">
      <c r="A34" s="104">
        <v>1960</v>
      </c>
      <c r="B34" s="18" t="s">
        <v>150</v>
      </c>
      <c r="C34" s="18" t="s">
        <v>151</v>
      </c>
      <c r="D34" s="18" t="s">
        <v>98</v>
      </c>
      <c r="E34" s="18" t="s">
        <v>152</v>
      </c>
      <c r="F34" s="18">
        <v>150</v>
      </c>
      <c r="G34" s="18" t="s">
        <v>61</v>
      </c>
      <c r="H34" s="19">
        <v>36477.25</v>
      </c>
      <c r="I34" s="105">
        <v>11.65</v>
      </c>
    </row>
    <row r="35" spans="1:9" ht="14.25" customHeight="1">
      <c r="A35" s="104">
        <v>1964</v>
      </c>
      <c r="B35" s="18" t="s">
        <v>153</v>
      </c>
      <c r="C35" s="18" t="s">
        <v>154</v>
      </c>
      <c r="D35" s="18" t="s">
        <v>76</v>
      </c>
      <c r="E35" s="18" t="s">
        <v>155</v>
      </c>
      <c r="F35" s="18">
        <v>108</v>
      </c>
      <c r="G35" s="18" t="s">
        <v>73</v>
      </c>
      <c r="H35" s="19">
        <v>38307.25</v>
      </c>
      <c r="I35" s="105">
        <v>9.25</v>
      </c>
    </row>
    <row r="36" spans="1:9" ht="14.25" customHeight="1">
      <c r="A36" s="104">
        <v>1975</v>
      </c>
      <c r="B36" s="18" t="s">
        <v>57</v>
      </c>
      <c r="C36" s="18" t="s">
        <v>156</v>
      </c>
      <c r="D36" s="18" t="s">
        <v>76</v>
      </c>
      <c r="E36" s="18" t="s">
        <v>157</v>
      </c>
      <c r="F36" s="18">
        <v>125</v>
      </c>
      <c r="G36" s="18" t="s">
        <v>73</v>
      </c>
      <c r="H36" s="19">
        <v>39873.25</v>
      </c>
      <c r="I36" s="105">
        <v>9.25</v>
      </c>
    </row>
    <row r="37" spans="1:9" ht="14.25" customHeight="1">
      <c r="A37" s="104">
        <v>1983</v>
      </c>
      <c r="B37" s="18" t="s">
        <v>153</v>
      </c>
      <c r="C37" s="18" t="s">
        <v>158</v>
      </c>
      <c r="D37" s="18" t="s">
        <v>59</v>
      </c>
      <c r="E37" s="18" t="s">
        <v>159</v>
      </c>
      <c r="F37" s="18">
        <v>154</v>
      </c>
      <c r="G37" s="18" t="s">
        <v>61</v>
      </c>
      <c r="H37" s="19">
        <v>40357.25</v>
      </c>
      <c r="I37" s="105">
        <v>11</v>
      </c>
    </row>
    <row r="38" spans="1:9" ht="14.25" customHeight="1">
      <c r="A38" s="104">
        <v>1990</v>
      </c>
      <c r="B38" s="18" t="s">
        <v>160</v>
      </c>
      <c r="C38" s="18" t="s">
        <v>161</v>
      </c>
      <c r="D38" s="18" t="s">
        <v>98</v>
      </c>
      <c r="E38" s="18" t="s">
        <v>162</v>
      </c>
      <c r="F38" s="18">
        <v>198</v>
      </c>
      <c r="G38" s="18" t="s">
        <v>61</v>
      </c>
      <c r="H38" s="19">
        <v>40588.25</v>
      </c>
      <c r="I38" s="105">
        <v>10.95</v>
      </c>
    </row>
    <row r="39" spans="1:9" ht="14.25" customHeight="1">
      <c r="A39" s="104">
        <v>1995</v>
      </c>
      <c r="B39" s="18" t="s">
        <v>113</v>
      </c>
      <c r="C39" s="18" t="s">
        <v>163</v>
      </c>
      <c r="D39" s="18" t="s">
        <v>59</v>
      </c>
      <c r="E39" s="18" t="s">
        <v>164</v>
      </c>
      <c r="F39" s="18">
        <v>198</v>
      </c>
      <c r="G39" s="18" t="s">
        <v>61</v>
      </c>
      <c r="H39" s="19">
        <v>40603.25</v>
      </c>
      <c r="I39" s="105">
        <v>11.75</v>
      </c>
    </row>
    <row r="40" spans="1:9" ht="14.25" customHeight="1">
      <c r="A40" s="109">
        <v>2006</v>
      </c>
      <c r="B40" s="100" t="s">
        <v>165</v>
      </c>
      <c r="C40" s="100" t="s">
        <v>166</v>
      </c>
      <c r="D40" s="100" t="s">
        <v>83</v>
      </c>
      <c r="E40" s="100" t="s">
        <v>167</v>
      </c>
      <c r="F40" s="100">
        <v>428</v>
      </c>
      <c r="G40" s="100" t="s">
        <v>85</v>
      </c>
      <c r="H40" s="101">
        <v>40729.25</v>
      </c>
      <c r="I40" s="110">
        <v>10.15</v>
      </c>
    </row>
    <row r="41" spans="1:9" ht="14.25" customHeight="1">
      <c r="A41" s="104">
        <v>43</v>
      </c>
      <c r="B41" s="18" t="s">
        <v>3563</v>
      </c>
      <c r="C41" s="18" t="s">
        <v>3562</v>
      </c>
      <c r="D41" s="18" t="s">
        <v>3564</v>
      </c>
      <c r="E41" s="18" t="s">
        <v>3565</v>
      </c>
      <c r="F41" s="18">
        <v>91</v>
      </c>
      <c r="G41" s="18" t="s">
        <v>3566</v>
      </c>
      <c r="H41" s="19">
        <v>46164</v>
      </c>
      <c r="I41" s="105">
        <v>100</v>
      </c>
    </row>
    <row r="42" spans="1:9" ht="14.25" customHeight="1"/>
    <row r="43" spans="1:9" ht="14.25" customHeight="1"/>
    <row r="44" spans="1:9" ht="14.25" customHeight="1"/>
    <row r="45" spans="1:9" ht="14.25" customHeight="1"/>
    <row r="46" spans="1:9" ht="14.25" customHeight="1"/>
    <row r="47" spans="1:9" ht="14.25" customHeight="1"/>
    <row r="48" spans="1:9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2"/>
    <mergeCell ref="M5:Q6"/>
  </mergeCells>
  <pageMargins left="0.7" right="0.7" top="0.75" bottom="0.75" header="0" footer="0"/>
  <pageSetup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F1000"/>
  <sheetViews>
    <sheetView workbookViewId="0"/>
  </sheetViews>
  <sheetFormatPr defaultColWidth="14.44140625" defaultRowHeight="15" customHeight="1"/>
  <cols>
    <col min="1" max="1" width="23.6640625" customWidth="1"/>
    <col min="2" max="2" width="13.6640625" customWidth="1"/>
    <col min="3" max="3" width="15.6640625" customWidth="1"/>
    <col min="4" max="5" width="15.33203125" customWidth="1"/>
    <col min="6" max="6" width="4.44140625" customWidth="1"/>
  </cols>
  <sheetData>
    <row r="1" spans="1:6" ht="14.25" customHeight="1">
      <c r="A1" s="21" t="s">
        <v>168</v>
      </c>
      <c r="B1" s="22" t="s">
        <v>169</v>
      </c>
      <c r="C1" s="22" t="s">
        <v>170</v>
      </c>
      <c r="D1" s="22" t="s">
        <v>171</v>
      </c>
      <c r="E1" s="22" t="s">
        <v>172</v>
      </c>
      <c r="F1" s="23" t="s">
        <v>173</v>
      </c>
    </row>
    <row r="2" spans="1:6" ht="14.25" customHeight="1">
      <c r="A2" s="24" t="s">
        <v>174</v>
      </c>
      <c r="B2" s="25">
        <v>133462</v>
      </c>
      <c r="C2" s="25" t="s">
        <v>175</v>
      </c>
      <c r="D2" s="25" t="s">
        <v>176</v>
      </c>
      <c r="E2" s="25"/>
      <c r="F2" s="25" t="s">
        <v>177</v>
      </c>
    </row>
    <row r="3" spans="1:6" ht="14.25" customHeight="1">
      <c r="A3" s="24" t="s">
        <v>178</v>
      </c>
      <c r="B3" s="25">
        <v>191768</v>
      </c>
      <c r="C3" s="25" t="s">
        <v>76</v>
      </c>
      <c r="D3" s="25" t="s">
        <v>179</v>
      </c>
      <c r="E3" s="25"/>
      <c r="F3" s="25" t="s">
        <v>180</v>
      </c>
    </row>
    <row r="4" spans="1:6" ht="14.25" customHeight="1">
      <c r="A4" s="24" t="s">
        <v>174</v>
      </c>
      <c r="B4" s="25">
        <v>133462</v>
      </c>
      <c r="C4" s="25" t="s">
        <v>175</v>
      </c>
      <c r="D4" s="25" t="s">
        <v>176</v>
      </c>
      <c r="E4" s="25"/>
      <c r="F4" s="25" t="s">
        <v>177</v>
      </c>
    </row>
    <row r="5" spans="1:6" ht="14.25" customHeight="1">
      <c r="A5" s="24" t="s">
        <v>178</v>
      </c>
      <c r="B5" s="25">
        <v>191768</v>
      </c>
      <c r="C5" s="25" t="s">
        <v>76</v>
      </c>
      <c r="D5" s="25" t="s">
        <v>179</v>
      </c>
      <c r="E5" s="25"/>
      <c r="F5" s="25" t="s">
        <v>180</v>
      </c>
    </row>
    <row r="6" spans="1:6" ht="14.25" customHeight="1">
      <c r="A6" s="24" t="s">
        <v>174</v>
      </c>
      <c r="B6" s="25">
        <v>133462</v>
      </c>
      <c r="C6" s="25" t="s">
        <v>175</v>
      </c>
      <c r="D6" s="25" t="s">
        <v>176</v>
      </c>
      <c r="E6" s="25"/>
      <c r="F6" s="25" t="s">
        <v>177</v>
      </c>
    </row>
    <row r="7" spans="1:6" ht="14.25" customHeight="1">
      <c r="A7" s="24" t="s">
        <v>178</v>
      </c>
      <c r="B7" s="25">
        <v>191768</v>
      </c>
      <c r="C7" s="25" t="s">
        <v>76</v>
      </c>
      <c r="D7" s="25" t="s">
        <v>179</v>
      </c>
      <c r="E7" s="25"/>
      <c r="F7" s="25" t="s">
        <v>180</v>
      </c>
    </row>
    <row r="8" spans="1:6" ht="14.25" customHeight="1">
      <c r="A8" s="24" t="s">
        <v>174</v>
      </c>
      <c r="B8" s="25">
        <v>133462</v>
      </c>
      <c r="C8" s="25" t="s">
        <v>175</v>
      </c>
      <c r="D8" s="25" t="s">
        <v>176</v>
      </c>
      <c r="E8" s="25"/>
      <c r="F8" s="25" t="s">
        <v>177</v>
      </c>
    </row>
    <row r="9" spans="1:6" ht="14.25" customHeight="1">
      <c r="A9" s="24" t="s">
        <v>178</v>
      </c>
      <c r="B9" s="25">
        <v>191768</v>
      </c>
      <c r="C9" s="25" t="s">
        <v>76</v>
      </c>
      <c r="D9" s="25" t="s">
        <v>179</v>
      </c>
      <c r="E9" s="25"/>
      <c r="F9" s="25" t="s">
        <v>180</v>
      </c>
    </row>
    <row r="10" spans="1:6" ht="14.25" customHeight="1">
      <c r="A10" s="24" t="s">
        <v>174</v>
      </c>
      <c r="B10" s="25">
        <v>133462</v>
      </c>
      <c r="C10" s="25" t="s">
        <v>175</v>
      </c>
      <c r="D10" s="25" t="s">
        <v>176</v>
      </c>
      <c r="E10" s="25"/>
      <c r="F10" s="25" t="s">
        <v>177</v>
      </c>
    </row>
    <row r="11" spans="1:6" ht="14.25" customHeight="1">
      <c r="A11" s="24" t="s">
        <v>178</v>
      </c>
      <c r="B11" s="25">
        <v>191768</v>
      </c>
      <c r="C11" s="25" t="s">
        <v>76</v>
      </c>
      <c r="D11" s="25" t="s">
        <v>179</v>
      </c>
      <c r="E11" s="25"/>
      <c r="F11" s="25" t="s">
        <v>180</v>
      </c>
    </row>
    <row r="12" spans="1:6" ht="14.25" customHeight="1">
      <c r="A12" s="24" t="s">
        <v>174</v>
      </c>
      <c r="B12" s="25">
        <v>133462</v>
      </c>
      <c r="C12" s="25" t="s">
        <v>175</v>
      </c>
      <c r="D12" s="25" t="s">
        <v>176</v>
      </c>
      <c r="E12" s="25"/>
      <c r="F12" s="25" t="s">
        <v>177</v>
      </c>
    </row>
    <row r="13" spans="1:6" ht="14.25" customHeight="1">
      <c r="A13" s="24" t="s">
        <v>178</v>
      </c>
      <c r="B13" s="25">
        <v>191768</v>
      </c>
      <c r="C13" s="25" t="s">
        <v>76</v>
      </c>
      <c r="D13" s="25" t="s">
        <v>179</v>
      </c>
      <c r="E13" s="25"/>
      <c r="F13" s="25" t="s">
        <v>180</v>
      </c>
    </row>
    <row r="14" spans="1:6" ht="14.25" customHeight="1">
      <c r="A14" s="24" t="s">
        <v>174</v>
      </c>
      <c r="B14" s="25">
        <v>133462</v>
      </c>
      <c r="C14" s="25" t="s">
        <v>175</v>
      </c>
      <c r="D14" s="25" t="s">
        <v>176</v>
      </c>
      <c r="E14" s="25"/>
      <c r="F14" s="25" t="s">
        <v>177</v>
      </c>
    </row>
    <row r="15" spans="1:6" ht="14.25" customHeight="1">
      <c r="A15" s="24" t="s">
        <v>178</v>
      </c>
      <c r="B15" s="25">
        <v>191768</v>
      </c>
      <c r="C15" s="25" t="s">
        <v>76</v>
      </c>
      <c r="D15" s="25" t="s">
        <v>179</v>
      </c>
      <c r="E15" s="25"/>
      <c r="F15" s="25" t="s">
        <v>180</v>
      </c>
    </row>
    <row r="16" spans="1: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T1000"/>
  <sheetViews>
    <sheetView workbookViewId="0"/>
  </sheetViews>
  <sheetFormatPr defaultColWidth="14.44140625" defaultRowHeight="15" customHeight="1"/>
  <cols>
    <col min="1" max="1" width="12.5546875" customWidth="1"/>
    <col min="2" max="2" width="16.109375" customWidth="1"/>
    <col min="3" max="3" width="4.44140625" customWidth="1"/>
    <col min="4" max="4" width="15.33203125" customWidth="1"/>
    <col min="5" max="5" width="16" customWidth="1"/>
    <col min="6" max="6" width="20.33203125" customWidth="1"/>
    <col min="7" max="7" width="7.109375" customWidth="1"/>
    <col min="8" max="8" width="13.33203125" customWidth="1"/>
    <col min="9" max="9" width="27.6640625" customWidth="1"/>
    <col min="10" max="10" width="17.33203125" customWidth="1"/>
    <col min="11" max="11" width="5.33203125" customWidth="1"/>
    <col min="12" max="12" width="7.88671875" customWidth="1"/>
    <col min="13" max="13" width="46.6640625" customWidth="1"/>
    <col min="14" max="14" width="31.6640625" customWidth="1"/>
    <col min="15" max="15" width="13.109375" customWidth="1"/>
    <col min="16" max="16" width="9.6640625" customWidth="1"/>
    <col min="17" max="17" width="5.6640625" customWidth="1"/>
    <col min="18" max="18" width="11.6640625" customWidth="1"/>
    <col min="19" max="19" width="9.88671875" customWidth="1"/>
    <col min="20" max="20" width="7.6640625" customWidth="1"/>
  </cols>
  <sheetData>
    <row r="1" spans="1:20" ht="14.25" customHeight="1">
      <c r="A1" s="26" t="s">
        <v>50</v>
      </c>
      <c r="B1" s="26" t="s">
        <v>181</v>
      </c>
      <c r="C1" s="26" t="s">
        <v>182</v>
      </c>
      <c r="D1" s="26" t="s">
        <v>49</v>
      </c>
      <c r="E1" s="26" t="s">
        <v>183</v>
      </c>
      <c r="F1" s="26" t="s">
        <v>184</v>
      </c>
      <c r="G1" s="26" t="s">
        <v>185</v>
      </c>
      <c r="H1" s="26" t="s">
        <v>186</v>
      </c>
      <c r="I1" s="26" t="s">
        <v>187</v>
      </c>
      <c r="J1" s="26" t="s">
        <v>173</v>
      </c>
      <c r="K1" s="26" t="s">
        <v>188</v>
      </c>
      <c r="L1" s="26" t="s">
        <v>189</v>
      </c>
      <c r="M1" s="26" t="s">
        <v>190</v>
      </c>
      <c r="N1" s="26" t="s">
        <v>52</v>
      </c>
      <c r="O1" s="26" t="s">
        <v>191</v>
      </c>
      <c r="P1" s="26" t="s">
        <v>192</v>
      </c>
      <c r="Q1" s="26" t="s">
        <v>193</v>
      </c>
      <c r="R1" s="26" t="s">
        <v>194</v>
      </c>
      <c r="S1" s="23" t="s">
        <v>195</v>
      </c>
      <c r="T1" s="26" t="s">
        <v>196</v>
      </c>
    </row>
    <row r="2" spans="1:20" ht="14.25" customHeight="1">
      <c r="A2" s="27" t="s">
        <v>197</v>
      </c>
      <c r="B2" s="28" t="str">
        <f t="shared" ref="B2:B501" si="0">PROPER(A2)</f>
        <v xml:space="preserve">Jennifer </v>
      </c>
      <c r="C2" s="27" t="s">
        <v>198</v>
      </c>
      <c r="D2" s="27" t="s">
        <v>199</v>
      </c>
      <c r="E2" s="28" t="str">
        <f t="shared" ref="E2:E501" si="1">PROPER(D2)</f>
        <v>Mcgrath</v>
      </c>
      <c r="F2" s="28" t="str">
        <f t="shared" ref="F2:F501" si="2">CONCATENATE(B2," ",E2)</f>
        <v>Jennifer  Mcgrath</v>
      </c>
      <c r="G2" s="27" t="s">
        <v>200</v>
      </c>
      <c r="H2" s="27" t="str">
        <f t="shared" ref="H2:H501" si="3">PROPER(G2)</f>
        <v>Female</v>
      </c>
      <c r="I2" s="27" t="s">
        <v>201</v>
      </c>
      <c r="J2" s="27" t="s">
        <v>202</v>
      </c>
      <c r="K2" s="27" t="s">
        <v>203</v>
      </c>
      <c r="L2" s="27">
        <v>62031</v>
      </c>
      <c r="M2" s="28" t="str">
        <f t="shared" ref="M2:M501" si="4">CONCATENATE(I2,", ",J2,", ",K2,", ",L2)</f>
        <v>985 Eagle Street, Fieldon, IL, 62031</v>
      </c>
      <c r="N2" s="27" t="s">
        <v>204</v>
      </c>
      <c r="O2" s="27" t="s">
        <v>205</v>
      </c>
      <c r="P2" s="28">
        <v>618</v>
      </c>
      <c r="Q2" s="28">
        <v>376</v>
      </c>
      <c r="R2" s="28">
        <v>3064</v>
      </c>
      <c r="S2" s="29" t="s">
        <v>206</v>
      </c>
      <c r="T2" s="28">
        <v>158</v>
      </c>
    </row>
    <row r="3" spans="1:20" ht="14.25" customHeight="1">
      <c r="A3" s="27" t="s">
        <v>207</v>
      </c>
      <c r="B3" s="28" t="str">
        <f t="shared" si="0"/>
        <v>Chad</v>
      </c>
      <c r="C3" s="27" t="s">
        <v>208</v>
      </c>
      <c r="D3" s="27" t="s">
        <v>209</v>
      </c>
      <c r="E3" s="28" t="str">
        <f t="shared" si="1"/>
        <v xml:space="preserve">Lewis </v>
      </c>
      <c r="F3" s="28" t="str">
        <f t="shared" si="2"/>
        <v xml:space="preserve">Chad Lewis </v>
      </c>
      <c r="G3" s="27" t="s">
        <v>210</v>
      </c>
      <c r="H3" s="27" t="str">
        <f t="shared" si="3"/>
        <v>Male</v>
      </c>
      <c r="I3" s="27" t="s">
        <v>211</v>
      </c>
      <c r="J3" s="27" t="s">
        <v>212</v>
      </c>
      <c r="K3" s="27" t="s">
        <v>213</v>
      </c>
      <c r="L3" s="27">
        <v>95936</v>
      </c>
      <c r="M3" s="28" t="str">
        <f t="shared" si="4"/>
        <v>267 Francis Mine, Downieville, CA, 95936</v>
      </c>
      <c r="N3" s="27" t="s">
        <v>214</v>
      </c>
      <c r="O3" s="27" t="s">
        <v>215</v>
      </c>
      <c r="P3" s="28">
        <v>530</v>
      </c>
      <c r="Q3" s="28">
        <v>289</v>
      </c>
      <c r="R3" s="28">
        <v>3807</v>
      </c>
      <c r="S3" s="29" t="s">
        <v>216</v>
      </c>
      <c r="T3" s="28">
        <v>851</v>
      </c>
    </row>
    <row r="4" spans="1:20" ht="14.25" customHeight="1">
      <c r="A4" s="27" t="s">
        <v>217</v>
      </c>
      <c r="B4" s="28" t="str">
        <f t="shared" si="0"/>
        <v>Susan</v>
      </c>
      <c r="C4" s="27" t="s">
        <v>208</v>
      </c>
      <c r="D4" s="27" t="s">
        <v>218</v>
      </c>
      <c r="E4" s="28" t="str">
        <f t="shared" si="1"/>
        <v>Rodriguez</v>
      </c>
      <c r="F4" s="28" t="str">
        <f t="shared" si="2"/>
        <v>Susan Rodriguez</v>
      </c>
      <c r="G4" s="27" t="s">
        <v>200</v>
      </c>
      <c r="H4" s="27" t="str">
        <f t="shared" si="3"/>
        <v>Female</v>
      </c>
      <c r="I4" s="27" t="s">
        <v>219</v>
      </c>
      <c r="J4" s="27" t="s">
        <v>220</v>
      </c>
      <c r="K4" s="27" t="s">
        <v>221</v>
      </c>
      <c r="L4" s="27">
        <v>7040</v>
      </c>
      <c r="M4" s="28" t="str">
        <f t="shared" si="4"/>
        <v>4620 Williams Mine Road, Maplewood, NJ, 7040</v>
      </c>
      <c r="N4" s="27" t="s">
        <v>222</v>
      </c>
      <c r="O4" s="27" t="s">
        <v>223</v>
      </c>
      <c r="P4" s="28">
        <v>908</v>
      </c>
      <c r="Q4" s="28">
        <v>264</v>
      </c>
      <c r="R4" s="28">
        <v>1670</v>
      </c>
      <c r="S4" s="29" t="s">
        <v>224</v>
      </c>
      <c r="T4" s="28">
        <v>5370</v>
      </c>
    </row>
    <row r="5" spans="1:20" ht="14.25" customHeight="1">
      <c r="A5" s="27" t="s">
        <v>225</v>
      </c>
      <c r="B5" s="28" t="str">
        <f t="shared" si="0"/>
        <v xml:space="preserve">Wayne </v>
      </c>
      <c r="C5" s="27" t="s">
        <v>226</v>
      </c>
      <c r="D5" s="27" t="s">
        <v>227</v>
      </c>
      <c r="E5" s="28" t="str">
        <f t="shared" si="1"/>
        <v>Nielson</v>
      </c>
      <c r="F5" s="28" t="str">
        <f t="shared" si="2"/>
        <v>Wayne  Nielson</v>
      </c>
      <c r="G5" s="27" t="s">
        <v>210</v>
      </c>
      <c r="H5" s="27" t="str">
        <f t="shared" si="3"/>
        <v>Male</v>
      </c>
      <c r="I5" s="27" t="s">
        <v>228</v>
      </c>
      <c r="J5" s="27" t="s">
        <v>229</v>
      </c>
      <c r="K5" s="27" t="s">
        <v>230</v>
      </c>
      <c r="L5" s="27">
        <v>22448</v>
      </c>
      <c r="M5" s="28" t="str">
        <f t="shared" si="4"/>
        <v>1829 White Pine Lane, Dahlgren, VA, 22448</v>
      </c>
      <c r="N5" s="27" t="s">
        <v>231</v>
      </c>
      <c r="O5" s="27" t="s">
        <v>232</v>
      </c>
      <c r="P5" s="28">
        <v>540</v>
      </c>
      <c r="Q5" s="28">
        <v>644</v>
      </c>
      <c r="R5" s="28">
        <v>7658</v>
      </c>
      <c r="S5" s="29" t="s">
        <v>233</v>
      </c>
      <c r="T5" s="28">
        <v>1254</v>
      </c>
    </row>
    <row r="6" spans="1:20" ht="14.25" customHeight="1">
      <c r="A6" s="27" t="s">
        <v>234</v>
      </c>
      <c r="B6" s="28" t="str">
        <f t="shared" si="0"/>
        <v>John</v>
      </c>
      <c r="C6" s="27" t="s">
        <v>235</v>
      </c>
      <c r="D6" s="27" t="s">
        <v>236</v>
      </c>
      <c r="E6" s="28" t="str">
        <f t="shared" si="1"/>
        <v xml:space="preserve">Depaul </v>
      </c>
      <c r="F6" s="28" t="str">
        <f t="shared" si="2"/>
        <v xml:space="preserve">John Depaul </v>
      </c>
      <c r="G6" s="27" t="s">
        <v>210</v>
      </c>
      <c r="H6" s="27" t="str">
        <f t="shared" si="3"/>
        <v>Male</v>
      </c>
      <c r="I6" s="27" t="s">
        <v>237</v>
      </c>
      <c r="J6" s="27" t="s">
        <v>238</v>
      </c>
      <c r="K6" s="27" t="s">
        <v>239</v>
      </c>
      <c r="L6" s="27">
        <v>70815</v>
      </c>
      <c r="M6" s="28" t="str">
        <f t="shared" si="4"/>
        <v>1165 Victoria Street, Baton Rouge, LA, 70815</v>
      </c>
      <c r="N6" s="27" t="s">
        <v>240</v>
      </c>
      <c r="O6" s="27" t="s">
        <v>241</v>
      </c>
      <c r="P6" s="28">
        <v>225</v>
      </c>
      <c r="Q6" s="28">
        <v>274</v>
      </c>
      <c r="R6" s="28">
        <v>4802</v>
      </c>
      <c r="S6" s="29" t="s">
        <v>242</v>
      </c>
      <c r="T6" s="28">
        <v>1343</v>
      </c>
    </row>
    <row r="7" spans="1:20" ht="14.25" customHeight="1">
      <c r="A7" s="27" t="s">
        <v>243</v>
      </c>
      <c r="B7" s="28" t="str">
        <f t="shared" si="0"/>
        <v>Joseph</v>
      </c>
      <c r="C7" s="27" t="s">
        <v>198</v>
      </c>
      <c r="D7" s="27" t="s">
        <v>244</v>
      </c>
      <c r="E7" s="28" t="str">
        <f t="shared" si="1"/>
        <v>Martinez</v>
      </c>
      <c r="F7" s="28" t="str">
        <f t="shared" si="2"/>
        <v>Joseph Martinez</v>
      </c>
      <c r="G7" s="27" t="s">
        <v>210</v>
      </c>
      <c r="H7" s="27" t="str">
        <f t="shared" si="3"/>
        <v>Male</v>
      </c>
      <c r="I7" s="27" t="s">
        <v>245</v>
      </c>
      <c r="J7" s="27" t="s">
        <v>246</v>
      </c>
      <c r="K7" s="27" t="s">
        <v>247</v>
      </c>
      <c r="L7" s="27">
        <v>97205</v>
      </c>
      <c r="M7" s="28" t="str">
        <f t="shared" si="4"/>
        <v>3866 Mattson Street, Portland, OR, 97205</v>
      </c>
      <c r="N7" s="27" t="s">
        <v>248</v>
      </c>
      <c r="O7" s="27" t="s">
        <v>249</v>
      </c>
      <c r="P7" s="28">
        <v>503</v>
      </c>
      <c r="Q7" s="28">
        <v>402</v>
      </c>
      <c r="R7" s="28">
        <v>2075</v>
      </c>
      <c r="S7" s="29" t="s">
        <v>250</v>
      </c>
      <c r="T7" s="28">
        <v>8581</v>
      </c>
    </row>
    <row r="8" spans="1:20" ht="14.25" customHeight="1">
      <c r="A8" s="27" t="s">
        <v>251</v>
      </c>
      <c r="B8" s="28" t="str">
        <f t="shared" si="0"/>
        <v>Diane</v>
      </c>
      <c r="C8" s="27" t="s">
        <v>252</v>
      </c>
      <c r="D8" s="27" t="s">
        <v>253</v>
      </c>
      <c r="E8" s="28" t="str">
        <f t="shared" si="1"/>
        <v xml:space="preserve">Henry </v>
      </c>
      <c r="F8" s="28" t="str">
        <f t="shared" si="2"/>
        <v xml:space="preserve">Diane Henry </v>
      </c>
      <c r="G8" s="27" t="s">
        <v>200</v>
      </c>
      <c r="H8" s="27" t="str">
        <f t="shared" si="3"/>
        <v>Female</v>
      </c>
      <c r="I8" s="27" t="s">
        <v>254</v>
      </c>
      <c r="J8" s="27" t="s">
        <v>255</v>
      </c>
      <c r="K8" s="27" t="s">
        <v>256</v>
      </c>
      <c r="L8" s="27">
        <v>78749</v>
      </c>
      <c r="M8" s="28" t="str">
        <f t="shared" si="4"/>
        <v>3902 Valley Lane, Austin, TX, 78749</v>
      </c>
      <c r="N8" s="27" t="s">
        <v>257</v>
      </c>
      <c r="O8" s="27" t="s">
        <v>258</v>
      </c>
      <c r="P8" s="28">
        <v>512</v>
      </c>
      <c r="Q8" s="28">
        <v>633</v>
      </c>
      <c r="R8" s="28">
        <v>7667</v>
      </c>
      <c r="S8" s="29" t="s">
        <v>259</v>
      </c>
      <c r="T8" s="28">
        <v>7264</v>
      </c>
    </row>
    <row r="9" spans="1:20" ht="14.25" customHeight="1">
      <c r="A9" s="27" t="s">
        <v>260</v>
      </c>
      <c r="B9" s="28" t="str">
        <f t="shared" si="0"/>
        <v>Veronica</v>
      </c>
      <c r="C9" s="27" t="s">
        <v>226</v>
      </c>
      <c r="D9" s="27" t="s">
        <v>261</v>
      </c>
      <c r="E9" s="28" t="str">
        <f t="shared" si="1"/>
        <v>Comerford</v>
      </c>
      <c r="F9" s="28" t="str">
        <f t="shared" si="2"/>
        <v>Veronica Comerford</v>
      </c>
      <c r="G9" s="27" t="s">
        <v>200</v>
      </c>
      <c r="H9" s="27" t="str">
        <f t="shared" si="3"/>
        <v>Female</v>
      </c>
      <c r="I9" s="27" t="s">
        <v>262</v>
      </c>
      <c r="J9" s="27" t="s">
        <v>263</v>
      </c>
      <c r="K9" s="27" t="s">
        <v>264</v>
      </c>
      <c r="L9" s="27">
        <v>36083</v>
      </c>
      <c r="M9" s="28" t="str">
        <f t="shared" si="4"/>
        <v>3932 Franklin Street, Tuskegee, AL, 36083</v>
      </c>
      <c r="N9" s="27" t="s">
        <v>265</v>
      </c>
      <c r="O9" s="27" t="s">
        <v>266</v>
      </c>
      <c r="P9" s="28">
        <v>334</v>
      </c>
      <c r="Q9" s="28">
        <v>725</v>
      </c>
      <c r="R9" s="28">
        <v>7343</v>
      </c>
      <c r="S9" s="29" t="s">
        <v>267</v>
      </c>
      <c r="T9" s="28">
        <v>9897</v>
      </c>
    </row>
    <row r="10" spans="1:20" ht="14.25" customHeight="1">
      <c r="A10" s="27" t="s">
        <v>268</v>
      </c>
      <c r="B10" s="28" t="str">
        <f t="shared" si="0"/>
        <v>Beverly</v>
      </c>
      <c r="C10" s="27" t="s">
        <v>235</v>
      </c>
      <c r="D10" s="27" t="s">
        <v>269</v>
      </c>
      <c r="E10" s="28" t="str">
        <f t="shared" si="1"/>
        <v>Nixon</v>
      </c>
      <c r="F10" s="28" t="str">
        <f t="shared" si="2"/>
        <v>Beverly Nixon</v>
      </c>
      <c r="G10" s="27" t="s">
        <v>200</v>
      </c>
      <c r="H10" s="27" t="str">
        <f t="shared" si="3"/>
        <v>Female</v>
      </c>
      <c r="I10" s="27" t="s">
        <v>270</v>
      </c>
      <c r="J10" s="27" t="s">
        <v>271</v>
      </c>
      <c r="K10" s="27" t="s">
        <v>272</v>
      </c>
      <c r="L10" s="27">
        <v>11101</v>
      </c>
      <c r="M10" s="28" t="str">
        <f t="shared" si="4"/>
        <v>3480 Dancing Dove Lane, Long Island City, NY, 11101</v>
      </c>
      <c r="N10" s="27" t="s">
        <v>273</v>
      </c>
      <c r="O10" s="27" t="s">
        <v>274</v>
      </c>
      <c r="P10" s="28">
        <v>347</v>
      </c>
      <c r="Q10" s="28">
        <v>626</v>
      </c>
      <c r="R10" s="28">
        <v>700</v>
      </c>
      <c r="S10" s="29" t="s">
        <v>275</v>
      </c>
      <c r="T10" s="28">
        <v>7922</v>
      </c>
    </row>
    <row r="11" spans="1:20" ht="14.25" customHeight="1">
      <c r="A11" s="27" t="s">
        <v>276</v>
      </c>
      <c r="B11" s="28" t="str">
        <f t="shared" si="0"/>
        <v>Ivan</v>
      </c>
      <c r="C11" s="27" t="s">
        <v>208</v>
      </c>
      <c r="D11" s="27" t="s">
        <v>277</v>
      </c>
      <c r="E11" s="28" t="str">
        <f t="shared" si="1"/>
        <v>Layton</v>
      </c>
      <c r="F11" s="28" t="str">
        <f t="shared" si="2"/>
        <v>Ivan Layton</v>
      </c>
      <c r="G11" s="27" t="s">
        <v>210</v>
      </c>
      <c r="H11" s="27" t="str">
        <f t="shared" si="3"/>
        <v>Male</v>
      </c>
      <c r="I11" s="27" t="s">
        <v>278</v>
      </c>
      <c r="J11" s="27" t="s">
        <v>279</v>
      </c>
      <c r="K11" s="27" t="s">
        <v>272</v>
      </c>
      <c r="L11" s="27">
        <v>12207</v>
      </c>
      <c r="M11" s="28" t="str">
        <f t="shared" si="4"/>
        <v>211 Hardesty Street, Albany, NY, 12207</v>
      </c>
      <c r="N11" s="27" t="s">
        <v>280</v>
      </c>
      <c r="O11" s="27" t="s">
        <v>281</v>
      </c>
      <c r="P11" s="28">
        <v>518</v>
      </c>
      <c r="Q11" s="28">
        <v>431</v>
      </c>
      <c r="R11" s="28">
        <v>7602</v>
      </c>
      <c r="S11" s="29" t="s">
        <v>282</v>
      </c>
      <c r="T11" s="28">
        <v>4367</v>
      </c>
    </row>
    <row r="12" spans="1:20" ht="14.25" customHeight="1">
      <c r="A12" s="27" t="s">
        <v>283</v>
      </c>
      <c r="B12" s="28" t="str">
        <f t="shared" si="0"/>
        <v>Shannon</v>
      </c>
      <c r="C12" s="27" t="s">
        <v>284</v>
      </c>
      <c r="D12" s="27" t="s">
        <v>285</v>
      </c>
      <c r="E12" s="28" t="str">
        <f t="shared" si="1"/>
        <v>Ford</v>
      </c>
      <c r="F12" s="28" t="str">
        <f t="shared" si="2"/>
        <v>Shannon Ford</v>
      </c>
      <c r="G12" s="27" t="s">
        <v>200</v>
      </c>
      <c r="H12" s="27" t="str">
        <f t="shared" si="3"/>
        <v>Female</v>
      </c>
      <c r="I12" s="27" t="s">
        <v>286</v>
      </c>
      <c r="J12" s="27" t="s">
        <v>287</v>
      </c>
      <c r="K12" s="27" t="s">
        <v>256</v>
      </c>
      <c r="L12" s="27">
        <v>77803</v>
      </c>
      <c r="M12" s="28" t="str">
        <f t="shared" si="4"/>
        <v>4430 Colonial Drive, Bryan, TX, 77803</v>
      </c>
      <c r="N12" s="27" t="s">
        <v>288</v>
      </c>
      <c r="O12" s="27" t="s">
        <v>289</v>
      </c>
      <c r="P12" s="28">
        <v>979</v>
      </c>
      <c r="Q12" s="28">
        <v>814</v>
      </c>
      <c r="R12" s="28">
        <v>1664</v>
      </c>
      <c r="S12" s="29" t="s">
        <v>290</v>
      </c>
      <c r="T12" s="28">
        <v>6340</v>
      </c>
    </row>
    <row r="13" spans="1:20" ht="14.25" customHeight="1">
      <c r="A13" s="27" t="s">
        <v>291</v>
      </c>
      <c r="B13" s="28" t="str">
        <f t="shared" si="0"/>
        <v>Debra</v>
      </c>
      <c r="C13" s="27" t="s">
        <v>292</v>
      </c>
      <c r="D13" s="27" t="s">
        <v>293</v>
      </c>
      <c r="E13" s="28" t="str">
        <f t="shared" si="1"/>
        <v>Ponce</v>
      </c>
      <c r="F13" s="28" t="str">
        <f t="shared" si="2"/>
        <v>Debra Ponce</v>
      </c>
      <c r="G13" s="27" t="s">
        <v>200</v>
      </c>
      <c r="H13" s="27" t="str">
        <f t="shared" si="3"/>
        <v>Female</v>
      </c>
      <c r="I13" s="27" t="s">
        <v>294</v>
      </c>
      <c r="J13" s="27" t="s">
        <v>295</v>
      </c>
      <c r="K13" s="27" t="s">
        <v>256</v>
      </c>
      <c r="L13" s="27">
        <v>75247</v>
      </c>
      <c r="M13" s="28" t="str">
        <f t="shared" si="4"/>
        <v>4418 Sussex Court, Dallas, TX, 75247</v>
      </c>
      <c r="N13" s="27" t="s">
        <v>296</v>
      </c>
      <c r="O13" s="27" t="s">
        <v>297</v>
      </c>
      <c r="P13" s="28">
        <v>254</v>
      </c>
      <c r="Q13" s="28">
        <v>488</v>
      </c>
      <c r="R13" s="28">
        <v>3212</v>
      </c>
      <c r="S13" s="29" t="s">
        <v>298</v>
      </c>
      <c r="T13" s="28">
        <v>7259</v>
      </c>
    </row>
    <row r="14" spans="1:20" ht="14.25" customHeight="1">
      <c r="A14" s="27" t="s">
        <v>299</v>
      </c>
      <c r="B14" s="28" t="str">
        <f t="shared" si="0"/>
        <v>Margaret</v>
      </c>
      <c r="C14" s="27" t="s">
        <v>300</v>
      </c>
      <c r="D14" s="27" t="s">
        <v>301</v>
      </c>
      <c r="E14" s="28" t="str">
        <f t="shared" si="1"/>
        <v>Bryner</v>
      </c>
      <c r="F14" s="28" t="str">
        <f t="shared" si="2"/>
        <v>Margaret Bryner</v>
      </c>
      <c r="G14" s="27" t="s">
        <v>200</v>
      </c>
      <c r="H14" s="27" t="str">
        <f t="shared" si="3"/>
        <v>Female</v>
      </c>
      <c r="I14" s="27" t="s">
        <v>302</v>
      </c>
      <c r="J14" s="27" t="s">
        <v>303</v>
      </c>
      <c r="K14" s="27" t="s">
        <v>304</v>
      </c>
      <c r="L14" s="27">
        <v>2905</v>
      </c>
      <c r="M14" s="28" t="str">
        <f t="shared" si="4"/>
        <v>738 Melm Street, Providence, RI, 2905</v>
      </c>
      <c r="N14" s="27" t="s">
        <v>305</v>
      </c>
      <c r="O14" s="27" t="s">
        <v>306</v>
      </c>
      <c r="P14" s="28">
        <v>401</v>
      </c>
      <c r="Q14" s="28">
        <v>222</v>
      </c>
      <c r="R14" s="28">
        <v>2097</v>
      </c>
      <c r="S14" s="29" t="s">
        <v>307</v>
      </c>
      <c r="T14" s="28">
        <v>513</v>
      </c>
    </row>
    <row r="15" spans="1:20" ht="14.25" customHeight="1">
      <c r="A15" s="27" t="s">
        <v>308</v>
      </c>
      <c r="B15" s="28" t="str">
        <f t="shared" si="0"/>
        <v>Barbara</v>
      </c>
      <c r="C15" s="27" t="s">
        <v>309</v>
      </c>
      <c r="D15" s="27" t="s">
        <v>310</v>
      </c>
      <c r="E15" s="28" t="str">
        <f t="shared" si="1"/>
        <v>Smith</v>
      </c>
      <c r="F15" s="28" t="str">
        <f t="shared" si="2"/>
        <v>Barbara Smith</v>
      </c>
      <c r="G15" s="27" t="s">
        <v>200</v>
      </c>
      <c r="H15" s="27" t="str">
        <f t="shared" si="3"/>
        <v>Female</v>
      </c>
      <c r="I15" s="27" t="s">
        <v>311</v>
      </c>
      <c r="J15" s="27" t="s">
        <v>312</v>
      </c>
      <c r="K15" s="27" t="s">
        <v>221</v>
      </c>
      <c r="L15" s="27">
        <v>8232</v>
      </c>
      <c r="M15" s="28" t="str">
        <f t="shared" si="4"/>
        <v>352 Lake Road, Egg Harbor, NJ, 8232</v>
      </c>
      <c r="N15" s="27" t="s">
        <v>313</v>
      </c>
      <c r="O15" s="27" t="s">
        <v>314</v>
      </c>
      <c r="P15" s="28">
        <v>609</v>
      </c>
      <c r="Q15" s="28">
        <v>412</v>
      </c>
      <c r="R15" s="28">
        <v>4268</v>
      </c>
      <c r="S15" s="29" t="s">
        <v>315</v>
      </c>
      <c r="T15" s="28">
        <v>1895</v>
      </c>
    </row>
    <row r="16" spans="1:20" ht="14.25" customHeight="1">
      <c r="A16" s="27" t="s">
        <v>316</v>
      </c>
      <c r="B16" s="28" t="str">
        <f t="shared" si="0"/>
        <v>Sue</v>
      </c>
      <c r="C16" s="27" t="s">
        <v>317</v>
      </c>
      <c r="D16" s="27" t="s">
        <v>318</v>
      </c>
      <c r="E16" s="28" t="str">
        <f t="shared" si="1"/>
        <v>Gay</v>
      </c>
      <c r="F16" s="28" t="str">
        <f t="shared" si="2"/>
        <v>Sue Gay</v>
      </c>
      <c r="G16" s="27" t="s">
        <v>200</v>
      </c>
      <c r="H16" s="27" t="str">
        <f t="shared" si="3"/>
        <v>Female</v>
      </c>
      <c r="I16" s="27" t="s">
        <v>319</v>
      </c>
      <c r="J16" s="27" t="s">
        <v>320</v>
      </c>
      <c r="K16" s="27" t="s">
        <v>321</v>
      </c>
      <c r="L16" s="27">
        <v>54620</v>
      </c>
      <c r="M16" s="28" t="str">
        <f t="shared" si="4"/>
        <v>2680 Comfort Court, Cataract, WI, 54620</v>
      </c>
      <c r="N16" s="27" t="s">
        <v>322</v>
      </c>
      <c r="O16" s="27" t="s">
        <v>323</v>
      </c>
      <c r="P16" s="28">
        <v>608</v>
      </c>
      <c r="Q16" s="28">
        <v>272</v>
      </c>
      <c r="R16" s="28">
        <v>8021</v>
      </c>
      <c r="S16" s="29" t="s">
        <v>324</v>
      </c>
      <c r="T16" s="28">
        <v>218</v>
      </c>
    </row>
    <row r="17" spans="1:20" ht="14.25" customHeight="1">
      <c r="A17" s="27" t="s">
        <v>325</v>
      </c>
      <c r="B17" s="28" t="str">
        <f t="shared" si="0"/>
        <v>Mark</v>
      </c>
      <c r="C17" s="27" t="s">
        <v>208</v>
      </c>
      <c r="D17" s="27" t="s">
        <v>326</v>
      </c>
      <c r="E17" s="28" t="str">
        <f t="shared" si="1"/>
        <v>Flores</v>
      </c>
      <c r="F17" s="28" t="str">
        <f t="shared" si="2"/>
        <v>Mark Flores</v>
      </c>
      <c r="G17" s="27" t="s">
        <v>210</v>
      </c>
      <c r="H17" s="27" t="str">
        <f t="shared" si="3"/>
        <v>Male</v>
      </c>
      <c r="I17" s="27" t="s">
        <v>327</v>
      </c>
      <c r="J17" s="27" t="s">
        <v>328</v>
      </c>
      <c r="K17" s="27" t="s">
        <v>329</v>
      </c>
      <c r="L17" s="27">
        <v>48607</v>
      </c>
      <c r="M17" s="28" t="str">
        <f t="shared" si="4"/>
        <v>42 Mount Street, Saginaw, MI, 48607</v>
      </c>
      <c r="N17" s="27" t="s">
        <v>330</v>
      </c>
      <c r="O17" s="27" t="s">
        <v>331</v>
      </c>
      <c r="P17" s="28">
        <v>989</v>
      </c>
      <c r="Q17" s="28">
        <v>669</v>
      </c>
      <c r="R17" s="28">
        <v>4705</v>
      </c>
      <c r="S17" s="29" t="s">
        <v>332</v>
      </c>
      <c r="T17" s="28">
        <v>239</v>
      </c>
    </row>
    <row r="18" spans="1:20" ht="14.25" customHeight="1">
      <c r="A18" s="27" t="s">
        <v>333</v>
      </c>
      <c r="B18" s="28" t="str">
        <f t="shared" si="0"/>
        <v>Julie</v>
      </c>
      <c r="C18" s="27" t="s">
        <v>334</v>
      </c>
      <c r="D18" s="27" t="s">
        <v>335</v>
      </c>
      <c r="E18" s="28" t="str">
        <f t="shared" si="1"/>
        <v>Purington</v>
      </c>
      <c r="F18" s="28" t="str">
        <f t="shared" si="2"/>
        <v>Julie Purington</v>
      </c>
      <c r="G18" s="27" t="s">
        <v>200</v>
      </c>
      <c r="H18" s="27" t="str">
        <f t="shared" si="3"/>
        <v>Female</v>
      </c>
      <c r="I18" s="27" t="s">
        <v>336</v>
      </c>
      <c r="J18" s="27" t="s">
        <v>337</v>
      </c>
      <c r="K18" s="27" t="s">
        <v>221</v>
      </c>
      <c r="L18" s="27">
        <v>8854</v>
      </c>
      <c r="M18" s="28" t="str">
        <f t="shared" si="4"/>
        <v>4953 Mahlon Street, Piscataway, NJ, 8854</v>
      </c>
      <c r="N18" s="27" t="s">
        <v>338</v>
      </c>
      <c r="O18" s="27" t="s">
        <v>339</v>
      </c>
      <c r="P18" s="28">
        <v>732</v>
      </c>
      <c r="Q18" s="28">
        <v>981</v>
      </c>
      <c r="R18" s="28">
        <v>4756</v>
      </c>
      <c r="S18" s="29" t="s">
        <v>340</v>
      </c>
      <c r="T18" s="28">
        <v>8909</v>
      </c>
    </row>
    <row r="19" spans="1:20" ht="14.25" customHeight="1">
      <c r="A19" s="27" t="s">
        <v>341</v>
      </c>
      <c r="B19" s="28" t="str">
        <f t="shared" si="0"/>
        <v>Debbie</v>
      </c>
      <c r="C19" s="27" t="s">
        <v>198</v>
      </c>
      <c r="D19" s="27" t="s">
        <v>342</v>
      </c>
      <c r="E19" s="28" t="str">
        <f t="shared" si="1"/>
        <v>Schuler</v>
      </c>
      <c r="F19" s="28" t="str">
        <f t="shared" si="2"/>
        <v>Debbie Schuler</v>
      </c>
      <c r="G19" s="27" t="s">
        <v>200</v>
      </c>
      <c r="H19" s="27" t="str">
        <f t="shared" si="3"/>
        <v>Female</v>
      </c>
      <c r="I19" s="27" t="s">
        <v>343</v>
      </c>
      <c r="J19" s="27" t="s">
        <v>344</v>
      </c>
      <c r="K19" s="27" t="s">
        <v>345</v>
      </c>
      <c r="L19" s="27">
        <v>38008</v>
      </c>
      <c r="M19" s="28" t="str">
        <f t="shared" si="4"/>
        <v>673 Mapleview Drive, Bolivar, TN, 38008</v>
      </c>
      <c r="N19" s="27" t="s">
        <v>346</v>
      </c>
      <c r="O19" s="27" t="s">
        <v>347</v>
      </c>
      <c r="P19" s="28">
        <v>731</v>
      </c>
      <c r="Q19" s="28">
        <v>228</v>
      </c>
      <c r="R19" s="28">
        <v>270</v>
      </c>
      <c r="S19" s="29" t="s">
        <v>348</v>
      </c>
      <c r="T19" s="28">
        <v>160</v>
      </c>
    </row>
    <row r="20" spans="1:20" ht="14.25" customHeight="1">
      <c r="A20" s="27" t="s">
        <v>349</v>
      </c>
      <c r="B20" s="28" t="str">
        <f t="shared" si="0"/>
        <v>Grace</v>
      </c>
      <c r="C20" s="27" t="s">
        <v>350</v>
      </c>
      <c r="D20" s="27" t="s">
        <v>351</v>
      </c>
      <c r="E20" s="28" t="str">
        <f t="shared" si="1"/>
        <v>Renninger</v>
      </c>
      <c r="F20" s="28" t="str">
        <f t="shared" si="2"/>
        <v>Grace Renninger</v>
      </c>
      <c r="G20" s="27" t="s">
        <v>200</v>
      </c>
      <c r="H20" s="27" t="str">
        <f t="shared" si="3"/>
        <v>Female</v>
      </c>
      <c r="I20" s="27" t="s">
        <v>352</v>
      </c>
      <c r="J20" s="27" t="s">
        <v>353</v>
      </c>
      <c r="K20" s="27" t="s">
        <v>203</v>
      </c>
      <c r="L20" s="27">
        <v>60661</v>
      </c>
      <c r="M20" s="28" t="str">
        <f t="shared" si="4"/>
        <v>2363 Oakmound Road, Chicago, IL, 60661</v>
      </c>
      <c r="N20" s="27" t="s">
        <v>354</v>
      </c>
      <c r="O20" s="27" t="s">
        <v>355</v>
      </c>
      <c r="P20" s="28">
        <v>773</v>
      </c>
      <c r="Q20" s="28">
        <v>250</v>
      </c>
      <c r="R20" s="28">
        <v>4788</v>
      </c>
      <c r="S20" s="29" t="s">
        <v>356</v>
      </c>
      <c r="T20" s="28">
        <v>939</v>
      </c>
    </row>
    <row r="21" spans="1:20" ht="14.25" customHeight="1">
      <c r="A21" s="27" t="s">
        <v>357</v>
      </c>
      <c r="B21" s="28" t="str">
        <f t="shared" si="0"/>
        <v>James</v>
      </c>
      <c r="C21" s="27" t="s">
        <v>350</v>
      </c>
      <c r="D21" s="27" t="s">
        <v>358</v>
      </c>
      <c r="E21" s="28" t="str">
        <f t="shared" si="1"/>
        <v>Weiss</v>
      </c>
      <c r="F21" s="28" t="str">
        <f t="shared" si="2"/>
        <v>James Weiss</v>
      </c>
      <c r="G21" s="27" t="s">
        <v>210</v>
      </c>
      <c r="H21" s="27" t="str">
        <f t="shared" si="3"/>
        <v>Male</v>
      </c>
      <c r="I21" s="27" t="s">
        <v>359</v>
      </c>
      <c r="J21" s="27" t="s">
        <v>360</v>
      </c>
      <c r="K21" s="27" t="s">
        <v>256</v>
      </c>
      <c r="L21" s="27">
        <v>77060</v>
      </c>
      <c r="M21" s="28" t="str">
        <f t="shared" si="4"/>
        <v>1278 Cemetery Street, Houston, TX, 77060</v>
      </c>
      <c r="N21" s="27" t="s">
        <v>361</v>
      </c>
      <c r="O21" s="27" t="s">
        <v>362</v>
      </c>
      <c r="P21" s="28">
        <v>832</v>
      </c>
      <c r="Q21" s="28">
        <v>232</v>
      </c>
      <c r="R21" s="28">
        <v>4190</v>
      </c>
      <c r="S21" s="29" t="s">
        <v>363</v>
      </c>
      <c r="T21" s="28">
        <v>787</v>
      </c>
    </row>
    <row r="22" spans="1:20" ht="14.25" customHeight="1">
      <c r="A22" s="27" t="s">
        <v>364</v>
      </c>
      <c r="B22" s="28" t="str">
        <f t="shared" si="0"/>
        <v>Addie</v>
      </c>
      <c r="C22" s="27" t="s">
        <v>198</v>
      </c>
      <c r="D22" s="27" t="s">
        <v>365</v>
      </c>
      <c r="E22" s="28" t="str">
        <f t="shared" si="1"/>
        <v>Stevenson</v>
      </c>
      <c r="F22" s="28" t="str">
        <f t="shared" si="2"/>
        <v>Addie Stevenson</v>
      </c>
      <c r="G22" s="27" t="s">
        <v>200</v>
      </c>
      <c r="H22" s="27" t="str">
        <f t="shared" si="3"/>
        <v>Female</v>
      </c>
      <c r="I22" s="27" t="s">
        <v>366</v>
      </c>
      <c r="J22" s="27" t="s">
        <v>367</v>
      </c>
      <c r="K22" s="27" t="s">
        <v>368</v>
      </c>
      <c r="L22" s="27">
        <v>32256</v>
      </c>
      <c r="M22" s="28" t="str">
        <f t="shared" si="4"/>
        <v>336 Alpha Avenue, Jacksonville, FL, 32256</v>
      </c>
      <c r="N22" s="27" t="s">
        <v>369</v>
      </c>
      <c r="O22" s="27" t="s">
        <v>370</v>
      </c>
      <c r="P22" s="28">
        <v>904</v>
      </c>
      <c r="Q22" s="28">
        <v>248</v>
      </c>
      <c r="R22" s="28">
        <v>2500</v>
      </c>
      <c r="S22" s="29" t="s">
        <v>371</v>
      </c>
      <c r="T22" s="28">
        <v>5854</v>
      </c>
    </row>
    <row r="23" spans="1:20" ht="14.25" customHeight="1">
      <c r="A23" s="27" t="s">
        <v>372</v>
      </c>
      <c r="B23" s="28" t="str">
        <f t="shared" si="0"/>
        <v>Patrick</v>
      </c>
      <c r="C23" s="27" t="s">
        <v>300</v>
      </c>
      <c r="D23" s="27" t="s">
        <v>373</v>
      </c>
      <c r="E23" s="28" t="str">
        <f t="shared" si="1"/>
        <v>Mccurdy</v>
      </c>
      <c r="F23" s="28" t="str">
        <f t="shared" si="2"/>
        <v>Patrick Mccurdy</v>
      </c>
      <c r="G23" s="27" t="s">
        <v>210</v>
      </c>
      <c r="H23" s="27" t="str">
        <f t="shared" si="3"/>
        <v>Male</v>
      </c>
      <c r="I23" s="27" t="s">
        <v>374</v>
      </c>
      <c r="J23" s="27" t="s">
        <v>375</v>
      </c>
      <c r="K23" s="27" t="s">
        <v>376</v>
      </c>
      <c r="L23" s="27">
        <v>68956</v>
      </c>
      <c r="M23" s="28" t="str">
        <f t="shared" si="4"/>
        <v>2166 North Avenue, Kenesaw, NE, 68956</v>
      </c>
      <c r="N23" s="27" t="s">
        <v>377</v>
      </c>
      <c r="O23" s="27" t="s">
        <v>378</v>
      </c>
      <c r="P23" s="28">
        <v>402</v>
      </c>
      <c r="Q23" s="28">
        <v>752</v>
      </c>
      <c r="R23" s="28">
        <v>6280</v>
      </c>
      <c r="S23" s="29" t="s">
        <v>379</v>
      </c>
      <c r="T23" s="28">
        <v>9019</v>
      </c>
    </row>
    <row r="24" spans="1:20" ht="14.25" customHeight="1">
      <c r="A24" s="27" t="s">
        <v>380</v>
      </c>
      <c r="B24" s="28" t="str">
        <f t="shared" si="0"/>
        <v>Laura</v>
      </c>
      <c r="C24" s="27" t="s">
        <v>381</v>
      </c>
      <c r="D24" s="27" t="s">
        <v>382</v>
      </c>
      <c r="E24" s="28" t="str">
        <f t="shared" si="1"/>
        <v>Hailey</v>
      </c>
      <c r="F24" s="28" t="str">
        <f t="shared" si="2"/>
        <v>Laura Hailey</v>
      </c>
      <c r="G24" s="27" t="s">
        <v>200</v>
      </c>
      <c r="H24" s="27" t="str">
        <f t="shared" si="3"/>
        <v>Female</v>
      </c>
      <c r="I24" s="27" t="s">
        <v>383</v>
      </c>
      <c r="J24" s="27" t="s">
        <v>384</v>
      </c>
      <c r="K24" s="27" t="s">
        <v>385</v>
      </c>
      <c r="L24" s="27">
        <v>84627</v>
      </c>
      <c r="M24" s="28" t="str">
        <f t="shared" si="4"/>
        <v>3684 North Street, Ephraim, UT, 84627</v>
      </c>
      <c r="N24" s="27" t="s">
        <v>386</v>
      </c>
      <c r="O24" s="27" t="s">
        <v>387</v>
      </c>
      <c r="P24" s="28">
        <v>435</v>
      </c>
      <c r="Q24" s="28">
        <v>283</v>
      </c>
      <c r="R24" s="28">
        <v>1109</v>
      </c>
      <c r="S24" s="29" t="s">
        <v>388</v>
      </c>
      <c r="T24" s="28">
        <v>701</v>
      </c>
    </row>
    <row r="25" spans="1:20" ht="14.25" customHeight="1">
      <c r="A25" s="27" t="s">
        <v>389</v>
      </c>
      <c r="B25" s="28" t="str">
        <f t="shared" si="0"/>
        <v>Daniel</v>
      </c>
      <c r="C25" s="27" t="s">
        <v>226</v>
      </c>
      <c r="D25" s="27" t="s">
        <v>390</v>
      </c>
      <c r="E25" s="28" t="str">
        <f t="shared" si="1"/>
        <v>Girard</v>
      </c>
      <c r="F25" s="28" t="str">
        <f t="shared" si="2"/>
        <v>Daniel Girard</v>
      </c>
      <c r="G25" s="27" t="s">
        <v>210</v>
      </c>
      <c r="H25" s="27" t="str">
        <f t="shared" si="3"/>
        <v>Male</v>
      </c>
      <c r="I25" s="27" t="s">
        <v>391</v>
      </c>
      <c r="J25" s="27" t="s">
        <v>392</v>
      </c>
      <c r="K25" s="27" t="s">
        <v>393</v>
      </c>
      <c r="L25" s="27">
        <v>25443</v>
      </c>
      <c r="M25" s="28" t="str">
        <f t="shared" si="4"/>
        <v>1678 Kelly Drive, Shepherdstown, WV, 25443</v>
      </c>
      <c r="N25" s="27" t="s">
        <v>394</v>
      </c>
      <c r="O25" s="27" t="s">
        <v>395</v>
      </c>
      <c r="P25" s="28">
        <v>304</v>
      </c>
      <c r="Q25" s="28">
        <v>870</v>
      </c>
      <c r="R25" s="28">
        <v>4512</v>
      </c>
      <c r="S25" s="29" t="s">
        <v>396</v>
      </c>
      <c r="T25" s="28">
        <v>7333</v>
      </c>
    </row>
    <row r="26" spans="1:20" ht="14.25" customHeight="1">
      <c r="A26" s="27" t="s">
        <v>397</v>
      </c>
      <c r="B26" s="28" t="str">
        <f t="shared" si="0"/>
        <v>Queen</v>
      </c>
      <c r="C26" s="27" t="s">
        <v>300</v>
      </c>
      <c r="D26" s="27" t="s">
        <v>398</v>
      </c>
      <c r="E26" s="28" t="str">
        <f t="shared" si="1"/>
        <v>Watson</v>
      </c>
      <c r="F26" s="28" t="str">
        <f t="shared" si="2"/>
        <v>Queen Watson</v>
      </c>
      <c r="G26" s="27" t="s">
        <v>200</v>
      </c>
      <c r="H26" s="27" t="str">
        <f t="shared" si="3"/>
        <v>Female</v>
      </c>
      <c r="I26" s="27" t="s">
        <v>399</v>
      </c>
      <c r="J26" s="27" t="s">
        <v>400</v>
      </c>
      <c r="K26" s="27" t="s">
        <v>213</v>
      </c>
      <c r="L26" s="27">
        <v>90017</v>
      </c>
      <c r="M26" s="28" t="str">
        <f t="shared" si="4"/>
        <v>1697 Fincham Road, Los Angeles, CA, 90017</v>
      </c>
      <c r="N26" s="27" t="s">
        <v>401</v>
      </c>
      <c r="O26" s="27" t="s">
        <v>402</v>
      </c>
      <c r="P26" s="28">
        <v>760</v>
      </c>
      <c r="Q26" s="28">
        <v>488</v>
      </c>
      <c r="R26" s="28">
        <v>9781</v>
      </c>
      <c r="S26" s="29" t="s">
        <v>403</v>
      </c>
      <c r="T26" s="28">
        <v>6756</v>
      </c>
    </row>
    <row r="27" spans="1:20" ht="14.25" customHeight="1">
      <c r="A27" s="27" t="s">
        <v>404</v>
      </c>
      <c r="B27" s="28" t="str">
        <f t="shared" si="0"/>
        <v>Lisa</v>
      </c>
      <c r="C27" s="27" t="s">
        <v>226</v>
      </c>
      <c r="D27" s="27" t="s">
        <v>405</v>
      </c>
      <c r="E27" s="28" t="str">
        <f t="shared" si="1"/>
        <v>Taylor</v>
      </c>
      <c r="F27" s="28" t="str">
        <f t="shared" si="2"/>
        <v>Lisa Taylor</v>
      </c>
      <c r="G27" s="27" t="s">
        <v>200</v>
      </c>
      <c r="H27" s="27" t="str">
        <f t="shared" si="3"/>
        <v>Female</v>
      </c>
      <c r="I27" s="27" t="s">
        <v>406</v>
      </c>
      <c r="J27" s="27" t="s">
        <v>407</v>
      </c>
      <c r="K27" s="27" t="s">
        <v>272</v>
      </c>
      <c r="L27" s="27">
        <v>10601</v>
      </c>
      <c r="M27" s="28" t="str">
        <f t="shared" si="4"/>
        <v>3132 Deans Lane, White Plains, NY, 10601</v>
      </c>
      <c r="N27" s="27" t="s">
        <v>408</v>
      </c>
      <c r="O27" s="27" t="s">
        <v>409</v>
      </c>
      <c r="P27" s="28">
        <v>914</v>
      </c>
      <c r="Q27" s="28">
        <v>890</v>
      </c>
      <c r="R27" s="28">
        <v>1038</v>
      </c>
      <c r="S27" s="29" t="s">
        <v>410</v>
      </c>
      <c r="T27" s="28">
        <v>754</v>
      </c>
    </row>
    <row r="28" spans="1:20" ht="14.25" customHeight="1">
      <c r="A28" s="27" t="s">
        <v>411</v>
      </c>
      <c r="B28" s="28" t="str">
        <f t="shared" si="0"/>
        <v>Efrain</v>
      </c>
      <c r="C28" s="27" t="s">
        <v>235</v>
      </c>
      <c r="D28" s="27" t="s">
        <v>412</v>
      </c>
      <c r="E28" s="28" t="str">
        <f t="shared" si="1"/>
        <v>Barrick</v>
      </c>
      <c r="F28" s="28" t="str">
        <f t="shared" si="2"/>
        <v>Efrain Barrick</v>
      </c>
      <c r="G28" s="27" t="s">
        <v>210</v>
      </c>
      <c r="H28" s="27" t="str">
        <f t="shared" si="3"/>
        <v>Male</v>
      </c>
      <c r="I28" s="27" t="s">
        <v>413</v>
      </c>
      <c r="J28" s="27" t="s">
        <v>414</v>
      </c>
      <c r="K28" s="27" t="s">
        <v>415</v>
      </c>
      <c r="L28" s="27">
        <v>30338</v>
      </c>
      <c r="M28" s="28" t="str">
        <f t="shared" si="4"/>
        <v>3277 Elk Creek Road, Dunwoody, GA, 30338</v>
      </c>
      <c r="N28" s="27" t="s">
        <v>416</v>
      </c>
      <c r="O28" s="27" t="s">
        <v>417</v>
      </c>
      <c r="P28" s="28">
        <v>770</v>
      </c>
      <c r="Q28" s="28">
        <v>522</v>
      </c>
      <c r="R28" s="28">
        <v>8310</v>
      </c>
      <c r="S28" s="29" t="s">
        <v>418</v>
      </c>
      <c r="T28" s="28">
        <v>855</v>
      </c>
    </row>
    <row r="29" spans="1:20" ht="14.25" customHeight="1">
      <c r="A29" s="27" t="s">
        <v>419</v>
      </c>
      <c r="B29" s="28" t="str">
        <f t="shared" si="0"/>
        <v>Robert</v>
      </c>
      <c r="C29" s="27" t="s">
        <v>420</v>
      </c>
      <c r="D29" s="27" t="s">
        <v>421</v>
      </c>
      <c r="E29" s="28" t="str">
        <f t="shared" si="1"/>
        <v>Saladin</v>
      </c>
      <c r="F29" s="28" t="str">
        <f t="shared" si="2"/>
        <v>Robert Saladin</v>
      </c>
      <c r="G29" s="27" t="s">
        <v>210</v>
      </c>
      <c r="H29" s="27" t="str">
        <f t="shared" si="3"/>
        <v>Male</v>
      </c>
      <c r="I29" s="27" t="s">
        <v>422</v>
      </c>
      <c r="J29" s="27" t="s">
        <v>423</v>
      </c>
      <c r="K29" s="27" t="s">
        <v>424</v>
      </c>
      <c r="L29" s="27">
        <v>27893</v>
      </c>
      <c r="M29" s="28" t="str">
        <f t="shared" si="4"/>
        <v>2840 Yorkshire Circle, Wilson, NC, 27893</v>
      </c>
      <c r="N29" s="27" t="s">
        <v>425</v>
      </c>
      <c r="O29" s="27" t="s">
        <v>426</v>
      </c>
      <c r="P29" s="28">
        <v>252</v>
      </c>
      <c r="Q29" s="28">
        <v>296</v>
      </c>
      <c r="R29" s="28">
        <v>325</v>
      </c>
      <c r="S29" s="29" t="s">
        <v>427</v>
      </c>
      <c r="T29" s="28">
        <v>2433</v>
      </c>
    </row>
    <row r="30" spans="1:20" ht="14.25" customHeight="1">
      <c r="A30" s="27" t="s">
        <v>428</v>
      </c>
      <c r="B30" s="28" t="str">
        <f t="shared" si="0"/>
        <v>Cynthia</v>
      </c>
      <c r="C30" s="27" t="s">
        <v>429</v>
      </c>
      <c r="D30" s="27" t="s">
        <v>430</v>
      </c>
      <c r="E30" s="28" t="str">
        <f t="shared" si="1"/>
        <v>Reyes</v>
      </c>
      <c r="F30" s="28" t="str">
        <f t="shared" si="2"/>
        <v>Cynthia Reyes</v>
      </c>
      <c r="G30" s="27" t="s">
        <v>200</v>
      </c>
      <c r="H30" s="27" t="str">
        <f t="shared" si="3"/>
        <v>Female</v>
      </c>
      <c r="I30" s="27" t="s">
        <v>431</v>
      </c>
      <c r="J30" s="27" t="s">
        <v>432</v>
      </c>
      <c r="K30" s="27" t="s">
        <v>433</v>
      </c>
      <c r="L30" s="27">
        <v>2334</v>
      </c>
      <c r="M30" s="28" t="str">
        <f t="shared" si="4"/>
        <v>4409 Kovar Road, Easton, MA, 2334</v>
      </c>
      <c r="N30" s="27" t="s">
        <v>434</v>
      </c>
      <c r="O30" s="27" t="s">
        <v>435</v>
      </c>
      <c r="P30" s="28">
        <v>508</v>
      </c>
      <c r="Q30" s="28">
        <v>565</v>
      </c>
      <c r="R30" s="28">
        <v>7448</v>
      </c>
      <c r="S30" s="29" t="s">
        <v>436</v>
      </c>
      <c r="T30" s="28">
        <v>2471</v>
      </c>
    </row>
    <row r="31" spans="1:20" ht="14.25" customHeight="1">
      <c r="A31" s="27" t="s">
        <v>437</v>
      </c>
      <c r="B31" s="28" t="str">
        <f t="shared" si="0"/>
        <v>Patricia</v>
      </c>
      <c r="C31" s="27" t="s">
        <v>438</v>
      </c>
      <c r="D31" s="27" t="s">
        <v>439</v>
      </c>
      <c r="E31" s="28" t="str">
        <f t="shared" si="1"/>
        <v>Alderete</v>
      </c>
      <c r="F31" s="28" t="str">
        <f t="shared" si="2"/>
        <v>Patricia Alderete</v>
      </c>
      <c r="G31" s="27" t="s">
        <v>200</v>
      </c>
      <c r="H31" s="27" t="str">
        <f t="shared" si="3"/>
        <v>Female</v>
      </c>
      <c r="I31" s="27" t="s">
        <v>440</v>
      </c>
      <c r="J31" s="27" t="s">
        <v>441</v>
      </c>
      <c r="K31" s="27" t="s">
        <v>424</v>
      </c>
      <c r="L31" s="27">
        <v>28202</v>
      </c>
      <c r="M31" s="28" t="str">
        <f t="shared" si="4"/>
        <v>3503 Hannah Street, Charlotte, NC, 28202</v>
      </c>
      <c r="N31" s="27" t="s">
        <v>442</v>
      </c>
      <c r="O31" s="27" t="s">
        <v>443</v>
      </c>
      <c r="P31" s="28">
        <v>828</v>
      </c>
      <c r="Q31" s="28">
        <v>426</v>
      </c>
      <c r="R31" s="28">
        <v>4327</v>
      </c>
      <c r="S31" s="29" t="s">
        <v>444</v>
      </c>
      <c r="T31" s="28">
        <v>3161</v>
      </c>
    </row>
    <row r="32" spans="1:20" ht="14.25" customHeight="1">
      <c r="A32" s="27" t="s">
        <v>445</v>
      </c>
      <c r="B32" s="28" t="str">
        <f t="shared" si="0"/>
        <v>Cyrstal</v>
      </c>
      <c r="C32" s="27" t="s">
        <v>300</v>
      </c>
      <c r="D32" s="27" t="s">
        <v>446</v>
      </c>
      <c r="E32" s="28" t="str">
        <f t="shared" si="1"/>
        <v>Reid</v>
      </c>
      <c r="F32" s="28" t="str">
        <f t="shared" si="2"/>
        <v>Cyrstal Reid</v>
      </c>
      <c r="G32" s="27" t="s">
        <v>200</v>
      </c>
      <c r="H32" s="27" t="str">
        <f t="shared" si="3"/>
        <v>Female</v>
      </c>
      <c r="I32" s="27" t="s">
        <v>447</v>
      </c>
      <c r="J32" s="27" t="s">
        <v>441</v>
      </c>
      <c r="K32" s="27" t="s">
        <v>424</v>
      </c>
      <c r="L32" s="27">
        <v>28202</v>
      </c>
      <c r="M32" s="28" t="str">
        <f t="shared" si="4"/>
        <v>205 Red Dog Road, Charlotte, NC, 28202</v>
      </c>
      <c r="N32" s="27" t="s">
        <v>448</v>
      </c>
      <c r="O32" s="27" t="s">
        <v>449</v>
      </c>
      <c r="P32" s="28">
        <v>704</v>
      </c>
      <c r="Q32" s="28">
        <v>330</v>
      </c>
      <c r="R32" s="28">
        <v>8800</v>
      </c>
      <c r="S32" s="29" t="s">
        <v>450</v>
      </c>
      <c r="T32" s="28">
        <v>835</v>
      </c>
    </row>
    <row r="33" spans="1:20" ht="14.25" customHeight="1">
      <c r="A33" s="27" t="s">
        <v>451</v>
      </c>
      <c r="B33" s="28" t="str">
        <f t="shared" si="0"/>
        <v>Jonathan</v>
      </c>
      <c r="C33" s="27" t="s">
        <v>350</v>
      </c>
      <c r="D33" s="27" t="s">
        <v>452</v>
      </c>
      <c r="E33" s="28" t="str">
        <f t="shared" si="1"/>
        <v>Tubbs</v>
      </c>
      <c r="F33" s="28" t="str">
        <f t="shared" si="2"/>
        <v>Jonathan Tubbs</v>
      </c>
      <c r="G33" s="27" t="s">
        <v>210</v>
      </c>
      <c r="H33" s="27" t="str">
        <f t="shared" si="3"/>
        <v>Male</v>
      </c>
      <c r="I33" s="27" t="s">
        <v>453</v>
      </c>
      <c r="J33" s="27" t="s">
        <v>295</v>
      </c>
      <c r="K33" s="27" t="s">
        <v>256</v>
      </c>
      <c r="L33" s="27">
        <v>75207</v>
      </c>
      <c r="M33" s="28" t="str">
        <f t="shared" si="4"/>
        <v>4339 Oakridge Lane, Dallas, TX, 75207</v>
      </c>
      <c r="N33" s="27" t="s">
        <v>454</v>
      </c>
      <c r="O33" s="27" t="s">
        <v>455</v>
      </c>
      <c r="P33" s="28">
        <v>469</v>
      </c>
      <c r="Q33" s="28">
        <v>916</v>
      </c>
      <c r="R33" s="28">
        <v>2924</v>
      </c>
      <c r="S33" s="29" t="s">
        <v>456</v>
      </c>
      <c r="T33" s="28">
        <v>436</v>
      </c>
    </row>
    <row r="34" spans="1:20" ht="14.25" customHeight="1">
      <c r="A34" s="27" t="s">
        <v>457</v>
      </c>
      <c r="B34" s="28" t="str">
        <f t="shared" si="0"/>
        <v>Vonda</v>
      </c>
      <c r="C34" s="27" t="s">
        <v>350</v>
      </c>
      <c r="D34" s="27" t="s">
        <v>458</v>
      </c>
      <c r="E34" s="28" t="str">
        <f t="shared" si="1"/>
        <v>Orbison</v>
      </c>
      <c r="F34" s="28" t="str">
        <f t="shared" si="2"/>
        <v>Vonda Orbison</v>
      </c>
      <c r="G34" s="27" t="s">
        <v>200</v>
      </c>
      <c r="H34" s="27" t="str">
        <f t="shared" si="3"/>
        <v>Female</v>
      </c>
      <c r="I34" s="27" t="s">
        <v>459</v>
      </c>
      <c r="J34" s="27" t="s">
        <v>460</v>
      </c>
      <c r="K34" s="27" t="s">
        <v>433</v>
      </c>
      <c r="L34" s="27">
        <v>2110</v>
      </c>
      <c r="M34" s="28" t="str">
        <f t="shared" si="4"/>
        <v>791 Levy Court, Boston, MA, 2110</v>
      </c>
      <c r="N34" s="27" t="s">
        <v>461</v>
      </c>
      <c r="O34" s="27" t="s">
        <v>462</v>
      </c>
      <c r="P34" s="28">
        <v>978</v>
      </c>
      <c r="Q34" s="28">
        <v>709</v>
      </c>
      <c r="R34" s="28">
        <v>5147</v>
      </c>
      <c r="S34" s="29" t="s">
        <v>463</v>
      </c>
      <c r="T34" s="28">
        <v>4788</v>
      </c>
    </row>
    <row r="35" spans="1:20" ht="14.25" customHeight="1">
      <c r="A35" s="27" t="s">
        <v>464</v>
      </c>
      <c r="B35" s="28" t="str">
        <f t="shared" si="0"/>
        <v>Paula</v>
      </c>
      <c r="C35" s="27" t="s">
        <v>465</v>
      </c>
      <c r="D35" s="27" t="s">
        <v>466</v>
      </c>
      <c r="E35" s="28" t="str">
        <f t="shared" si="1"/>
        <v>Osborn</v>
      </c>
      <c r="F35" s="28" t="str">
        <f t="shared" si="2"/>
        <v>Paula Osborn</v>
      </c>
      <c r="G35" s="27" t="s">
        <v>200</v>
      </c>
      <c r="H35" s="27" t="str">
        <f t="shared" si="3"/>
        <v>Female</v>
      </c>
      <c r="I35" s="27" t="s">
        <v>467</v>
      </c>
      <c r="J35" s="27" t="s">
        <v>468</v>
      </c>
      <c r="K35" s="27" t="s">
        <v>469</v>
      </c>
      <c r="L35" s="27">
        <v>43215</v>
      </c>
      <c r="M35" s="28" t="str">
        <f t="shared" si="4"/>
        <v>3544 Old House Drive, Columbus, OH, 43215</v>
      </c>
      <c r="N35" s="27" t="s">
        <v>470</v>
      </c>
      <c r="O35" s="27" t="s">
        <v>471</v>
      </c>
      <c r="P35" s="28">
        <v>740</v>
      </c>
      <c r="Q35" s="28">
        <v>879</v>
      </c>
      <c r="R35" s="28">
        <v>2454</v>
      </c>
      <c r="S35" s="29" t="s">
        <v>472</v>
      </c>
      <c r="T35" s="28">
        <v>501</v>
      </c>
    </row>
    <row r="36" spans="1:20" ht="14.25" customHeight="1">
      <c r="A36" s="27" t="s">
        <v>473</v>
      </c>
      <c r="B36" s="28" t="str">
        <f t="shared" si="0"/>
        <v>Lillie</v>
      </c>
      <c r="C36" s="27" t="s">
        <v>300</v>
      </c>
      <c r="D36" s="27" t="s">
        <v>474</v>
      </c>
      <c r="E36" s="28" t="str">
        <f t="shared" si="1"/>
        <v>Bohanon</v>
      </c>
      <c r="F36" s="28" t="str">
        <f t="shared" si="2"/>
        <v>Lillie Bohanon</v>
      </c>
      <c r="G36" s="27" t="s">
        <v>200</v>
      </c>
      <c r="H36" s="27" t="str">
        <f t="shared" si="3"/>
        <v>Female</v>
      </c>
      <c r="I36" s="27" t="s">
        <v>475</v>
      </c>
      <c r="J36" s="27" t="s">
        <v>476</v>
      </c>
      <c r="K36" s="27" t="s">
        <v>221</v>
      </c>
      <c r="L36" s="27">
        <v>7102</v>
      </c>
      <c r="M36" s="28" t="str">
        <f t="shared" si="4"/>
        <v>1899 Stonepot Road, Newark, NJ, 7102</v>
      </c>
      <c r="N36" s="27" t="s">
        <v>477</v>
      </c>
      <c r="O36" s="27" t="s">
        <v>478</v>
      </c>
      <c r="P36" s="28">
        <v>908</v>
      </c>
      <c r="Q36" s="28">
        <v>458</v>
      </c>
      <c r="R36" s="28">
        <v>6834</v>
      </c>
      <c r="S36" s="29" t="s">
        <v>479</v>
      </c>
      <c r="T36" s="28">
        <v>61</v>
      </c>
    </row>
    <row r="37" spans="1:20" ht="14.25" customHeight="1">
      <c r="A37" s="27" t="s">
        <v>480</v>
      </c>
      <c r="B37" s="28" t="str">
        <f t="shared" si="0"/>
        <v>Jane</v>
      </c>
      <c r="C37" s="27" t="s">
        <v>198</v>
      </c>
      <c r="D37" s="27" t="s">
        <v>481</v>
      </c>
      <c r="E37" s="28" t="str">
        <f t="shared" si="1"/>
        <v>Tapia</v>
      </c>
      <c r="F37" s="28" t="str">
        <f t="shared" si="2"/>
        <v>Jane Tapia</v>
      </c>
      <c r="G37" s="27" t="s">
        <v>200</v>
      </c>
      <c r="H37" s="27" t="str">
        <f t="shared" si="3"/>
        <v>Female</v>
      </c>
      <c r="I37" s="27" t="s">
        <v>482</v>
      </c>
      <c r="J37" s="27" t="s">
        <v>483</v>
      </c>
      <c r="K37" s="27" t="s">
        <v>368</v>
      </c>
      <c r="L37" s="27">
        <v>33901</v>
      </c>
      <c r="M37" s="28" t="str">
        <f t="shared" si="4"/>
        <v>3257 Lunetta Street, Fort Myers, FL, 33901</v>
      </c>
      <c r="N37" s="27" t="s">
        <v>484</v>
      </c>
      <c r="O37" s="27" t="s">
        <v>485</v>
      </c>
      <c r="P37" s="28">
        <v>941</v>
      </c>
      <c r="Q37" s="28">
        <v>326</v>
      </c>
      <c r="R37" s="28">
        <v>9242</v>
      </c>
      <c r="S37" s="29" t="s">
        <v>486</v>
      </c>
      <c r="T37" s="28">
        <v>559</v>
      </c>
    </row>
    <row r="38" spans="1:20" ht="14.25" customHeight="1">
      <c r="A38" s="27" t="s">
        <v>487</v>
      </c>
      <c r="B38" s="28" t="str">
        <f t="shared" si="0"/>
        <v>Gene</v>
      </c>
      <c r="C38" s="27" t="s">
        <v>309</v>
      </c>
      <c r="D38" s="27" t="s">
        <v>488</v>
      </c>
      <c r="E38" s="28" t="str">
        <f t="shared" si="1"/>
        <v>Vaughn</v>
      </c>
      <c r="F38" s="28" t="str">
        <f t="shared" si="2"/>
        <v>Gene Vaughn</v>
      </c>
      <c r="G38" s="27" t="s">
        <v>210</v>
      </c>
      <c r="H38" s="27" t="str">
        <f t="shared" si="3"/>
        <v>Male</v>
      </c>
      <c r="I38" s="27" t="s">
        <v>489</v>
      </c>
      <c r="J38" s="27" t="s">
        <v>490</v>
      </c>
      <c r="K38" s="27" t="s">
        <v>491</v>
      </c>
      <c r="L38" s="27">
        <v>55792</v>
      </c>
      <c r="M38" s="28" t="str">
        <f t="shared" si="4"/>
        <v>3811 Eagle Lane, Virginia, MN, 55792</v>
      </c>
      <c r="N38" s="27" t="s">
        <v>492</v>
      </c>
      <c r="O38" s="27" t="s">
        <v>493</v>
      </c>
      <c r="P38" s="28">
        <v>218</v>
      </c>
      <c r="Q38" s="28">
        <v>741</v>
      </c>
      <c r="R38" s="28">
        <v>8941</v>
      </c>
      <c r="S38" s="29" t="s">
        <v>494</v>
      </c>
      <c r="T38" s="28">
        <v>325</v>
      </c>
    </row>
    <row r="39" spans="1:20" ht="14.25" customHeight="1">
      <c r="A39" s="27" t="s">
        <v>495</v>
      </c>
      <c r="B39" s="28" t="str">
        <f t="shared" si="0"/>
        <v>Michele</v>
      </c>
      <c r="C39" s="27" t="s">
        <v>381</v>
      </c>
      <c r="D39" s="27" t="s">
        <v>496</v>
      </c>
      <c r="E39" s="28" t="str">
        <f t="shared" si="1"/>
        <v>Richard</v>
      </c>
      <c r="F39" s="28" t="str">
        <f t="shared" si="2"/>
        <v>Michele Richard</v>
      </c>
      <c r="G39" s="27" t="s">
        <v>200</v>
      </c>
      <c r="H39" s="27" t="str">
        <f t="shared" si="3"/>
        <v>Female</v>
      </c>
      <c r="I39" s="27" t="s">
        <v>497</v>
      </c>
      <c r="J39" s="27" t="s">
        <v>498</v>
      </c>
      <c r="K39" s="27" t="s">
        <v>499</v>
      </c>
      <c r="L39" s="27">
        <v>99202</v>
      </c>
      <c r="M39" s="28" t="str">
        <f t="shared" si="4"/>
        <v>4227 Poplar Chase Lane, Spokane, ID, 99202</v>
      </c>
      <c r="N39" s="27" t="s">
        <v>500</v>
      </c>
      <c r="O39" s="27" t="s">
        <v>501</v>
      </c>
      <c r="P39" s="28">
        <v>208</v>
      </c>
      <c r="Q39" s="28">
        <v>305</v>
      </c>
      <c r="R39" s="28">
        <v>3790</v>
      </c>
      <c r="S39" s="29" t="s">
        <v>502</v>
      </c>
      <c r="T39" s="28">
        <v>3987</v>
      </c>
    </row>
    <row r="40" spans="1:20" ht="14.25" customHeight="1">
      <c r="A40" s="27" t="s">
        <v>503</v>
      </c>
      <c r="B40" s="28" t="str">
        <f t="shared" si="0"/>
        <v>Anthony</v>
      </c>
      <c r="C40" s="27" t="s">
        <v>235</v>
      </c>
      <c r="D40" s="27" t="s">
        <v>504</v>
      </c>
      <c r="E40" s="28" t="str">
        <f t="shared" si="1"/>
        <v>Richmond</v>
      </c>
      <c r="F40" s="28" t="str">
        <f t="shared" si="2"/>
        <v>Anthony Richmond</v>
      </c>
      <c r="G40" s="27" t="s">
        <v>210</v>
      </c>
      <c r="H40" s="27" t="str">
        <f t="shared" si="3"/>
        <v>Male</v>
      </c>
      <c r="I40" s="27" t="s">
        <v>505</v>
      </c>
      <c r="J40" s="27" t="s">
        <v>506</v>
      </c>
      <c r="K40" s="27" t="s">
        <v>213</v>
      </c>
      <c r="L40" s="27">
        <v>94030</v>
      </c>
      <c r="M40" s="28" t="str">
        <f t="shared" si="4"/>
        <v>4845 Rardin Drive, Millbrae, CA, 94030</v>
      </c>
      <c r="N40" s="27" t="s">
        <v>507</v>
      </c>
      <c r="O40" s="27" t="s">
        <v>508</v>
      </c>
      <c r="P40" s="28">
        <v>650</v>
      </c>
      <c r="Q40" s="28">
        <v>652</v>
      </c>
      <c r="R40" s="28">
        <v>2518</v>
      </c>
      <c r="S40" s="29" t="s">
        <v>509</v>
      </c>
      <c r="T40" s="28">
        <v>7814</v>
      </c>
    </row>
    <row r="41" spans="1:20" ht="14.25" customHeight="1">
      <c r="A41" s="27" t="s">
        <v>510</v>
      </c>
      <c r="B41" s="28" t="str">
        <f t="shared" si="0"/>
        <v>George</v>
      </c>
      <c r="C41" s="27" t="s">
        <v>511</v>
      </c>
      <c r="D41" s="27" t="s">
        <v>512</v>
      </c>
      <c r="E41" s="28" t="str">
        <f t="shared" si="1"/>
        <v>Barnes</v>
      </c>
      <c r="F41" s="28" t="str">
        <f t="shared" si="2"/>
        <v>George Barnes</v>
      </c>
      <c r="G41" s="27" t="s">
        <v>210</v>
      </c>
      <c r="H41" s="27" t="str">
        <f t="shared" si="3"/>
        <v>Male</v>
      </c>
      <c r="I41" s="27" t="s">
        <v>513</v>
      </c>
      <c r="J41" s="27" t="s">
        <v>514</v>
      </c>
      <c r="K41" s="27" t="s">
        <v>515</v>
      </c>
      <c r="L41" s="27">
        <v>63101</v>
      </c>
      <c r="M41" s="28" t="str">
        <f t="shared" si="4"/>
        <v>3428 Irving Place, Saint Louis, MO, 63101</v>
      </c>
      <c r="N41" s="27" t="s">
        <v>516</v>
      </c>
      <c r="O41" s="27" t="s">
        <v>517</v>
      </c>
      <c r="P41" s="28">
        <v>636</v>
      </c>
      <c r="Q41" s="28">
        <v>243</v>
      </c>
      <c r="R41" s="28">
        <v>3984</v>
      </c>
      <c r="S41" s="29" t="s">
        <v>518</v>
      </c>
      <c r="T41" s="28">
        <v>139</v>
      </c>
    </row>
    <row r="42" spans="1:20" ht="14.25" customHeight="1">
      <c r="A42" s="27" t="s">
        <v>519</v>
      </c>
      <c r="B42" s="28" t="str">
        <f t="shared" si="0"/>
        <v>Craig</v>
      </c>
      <c r="C42" s="27" t="s">
        <v>511</v>
      </c>
      <c r="D42" s="27" t="s">
        <v>520</v>
      </c>
      <c r="E42" s="28" t="str">
        <f t="shared" si="1"/>
        <v>Lowe</v>
      </c>
      <c r="F42" s="28" t="str">
        <f t="shared" si="2"/>
        <v>Craig Lowe</v>
      </c>
      <c r="G42" s="27" t="s">
        <v>210</v>
      </c>
      <c r="H42" s="27" t="str">
        <f t="shared" si="3"/>
        <v>Male</v>
      </c>
      <c r="I42" s="27" t="s">
        <v>521</v>
      </c>
      <c r="J42" s="27" t="s">
        <v>522</v>
      </c>
      <c r="K42" s="27" t="s">
        <v>424</v>
      </c>
      <c r="L42" s="27">
        <v>27834</v>
      </c>
      <c r="M42" s="28" t="str">
        <f t="shared" si="4"/>
        <v>726 Fort Street, Greenville, NC, 27834</v>
      </c>
      <c r="N42" s="27" t="s">
        <v>523</v>
      </c>
      <c r="O42" s="27" t="s">
        <v>524</v>
      </c>
      <c r="P42" s="28">
        <v>252</v>
      </c>
      <c r="Q42" s="28">
        <v>902</v>
      </c>
      <c r="R42" s="28">
        <v>3809</v>
      </c>
      <c r="S42" s="29" t="s">
        <v>525</v>
      </c>
      <c r="T42" s="28">
        <v>1481</v>
      </c>
    </row>
    <row r="43" spans="1:20" ht="14.25" customHeight="1">
      <c r="A43" s="27" t="s">
        <v>526</v>
      </c>
      <c r="B43" s="28" t="str">
        <f t="shared" si="0"/>
        <v>Jennifer</v>
      </c>
      <c r="C43" s="27" t="s">
        <v>198</v>
      </c>
      <c r="D43" s="27" t="s">
        <v>527</v>
      </c>
      <c r="E43" s="28" t="str">
        <f t="shared" si="1"/>
        <v>Nguyen</v>
      </c>
      <c r="F43" s="28" t="str">
        <f t="shared" si="2"/>
        <v>Jennifer Nguyen</v>
      </c>
      <c r="G43" s="27" t="s">
        <v>200</v>
      </c>
      <c r="H43" s="27" t="str">
        <f t="shared" si="3"/>
        <v>Female</v>
      </c>
      <c r="I43" s="27" t="s">
        <v>528</v>
      </c>
      <c r="J43" s="27" t="s">
        <v>400</v>
      </c>
      <c r="K43" s="27" t="s">
        <v>213</v>
      </c>
      <c r="L43" s="27">
        <v>90017</v>
      </c>
      <c r="M43" s="28" t="str">
        <f t="shared" si="4"/>
        <v>4709 Brannon Street, Los Angeles, CA, 90017</v>
      </c>
      <c r="N43" s="27" t="s">
        <v>529</v>
      </c>
      <c r="O43" s="27" t="s">
        <v>530</v>
      </c>
      <c r="P43" s="28">
        <v>213</v>
      </c>
      <c r="Q43" s="28">
        <v>303</v>
      </c>
      <c r="R43" s="28">
        <v>6605</v>
      </c>
      <c r="S43" s="29" t="s">
        <v>531</v>
      </c>
      <c r="T43" s="28">
        <v>156</v>
      </c>
    </row>
    <row r="44" spans="1:20" ht="14.25" customHeight="1">
      <c r="A44" s="27" t="s">
        <v>532</v>
      </c>
      <c r="B44" s="28" t="str">
        <f t="shared" si="0"/>
        <v>Keith</v>
      </c>
      <c r="C44" s="27" t="s">
        <v>533</v>
      </c>
      <c r="D44" s="27" t="s">
        <v>534</v>
      </c>
      <c r="E44" s="28" t="str">
        <f t="shared" si="1"/>
        <v>Kizer</v>
      </c>
      <c r="F44" s="28" t="str">
        <f t="shared" si="2"/>
        <v>Keith Kizer</v>
      </c>
      <c r="G44" s="27" t="s">
        <v>210</v>
      </c>
      <c r="H44" s="27" t="str">
        <f t="shared" si="3"/>
        <v>Male</v>
      </c>
      <c r="I44" s="27" t="s">
        <v>535</v>
      </c>
      <c r="J44" s="27" t="s">
        <v>536</v>
      </c>
      <c r="K44" s="27" t="s">
        <v>537</v>
      </c>
      <c r="L44" s="27">
        <v>85205</v>
      </c>
      <c r="M44" s="28" t="str">
        <f t="shared" si="4"/>
        <v>977 East Avenue, Mesa, AZ, 85205</v>
      </c>
      <c r="N44" s="27" t="s">
        <v>538</v>
      </c>
      <c r="O44" s="27" t="s">
        <v>539</v>
      </c>
      <c r="P44" s="28">
        <v>480</v>
      </c>
      <c r="Q44" s="28">
        <v>325</v>
      </c>
      <c r="R44" s="28">
        <v>82</v>
      </c>
      <c r="S44" s="29" t="s">
        <v>540</v>
      </c>
      <c r="T44" s="28">
        <v>356</v>
      </c>
    </row>
    <row r="45" spans="1:20" ht="14.25" customHeight="1">
      <c r="A45" s="27" t="s">
        <v>243</v>
      </c>
      <c r="B45" s="28" t="str">
        <f t="shared" si="0"/>
        <v>Joseph</v>
      </c>
      <c r="C45" s="27" t="s">
        <v>292</v>
      </c>
      <c r="D45" s="27" t="s">
        <v>541</v>
      </c>
      <c r="E45" s="28" t="str">
        <f t="shared" si="1"/>
        <v>Apodaca</v>
      </c>
      <c r="F45" s="28" t="str">
        <f t="shared" si="2"/>
        <v>Joseph Apodaca</v>
      </c>
      <c r="G45" s="27" t="s">
        <v>210</v>
      </c>
      <c r="H45" s="27" t="str">
        <f t="shared" si="3"/>
        <v>Male</v>
      </c>
      <c r="I45" s="27" t="s">
        <v>542</v>
      </c>
      <c r="J45" s="27" t="s">
        <v>543</v>
      </c>
      <c r="K45" s="27" t="s">
        <v>230</v>
      </c>
      <c r="L45" s="27">
        <v>22963</v>
      </c>
      <c r="M45" s="28" t="str">
        <f t="shared" si="4"/>
        <v>1792 Queens Lane, Palmyra, VA, 22963</v>
      </c>
      <c r="N45" s="27" t="s">
        <v>544</v>
      </c>
      <c r="O45" s="27" t="s">
        <v>545</v>
      </c>
      <c r="P45" s="28">
        <v>434</v>
      </c>
      <c r="Q45" s="28">
        <v>591</v>
      </c>
      <c r="R45" s="28">
        <v>6520</v>
      </c>
      <c r="S45" s="29" t="s">
        <v>546</v>
      </c>
      <c r="T45" s="28">
        <v>1851</v>
      </c>
    </row>
    <row r="46" spans="1:20" ht="14.25" customHeight="1">
      <c r="A46" s="27" t="s">
        <v>547</v>
      </c>
      <c r="B46" s="28" t="str">
        <f t="shared" si="0"/>
        <v>Melissa</v>
      </c>
      <c r="C46" s="27" t="s">
        <v>198</v>
      </c>
      <c r="D46" s="27" t="s">
        <v>218</v>
      </c>
      <c r="E46" s="28" t="str">
        <f t="shared" si="1"/>
        <v>Rodriguez</v>
      </c>
      <c r="F46" s="28" t="str">
        <f t="shared" si="2"/>
        <v>Melissa Rodriguez</v>
      </c>
      <c r="G46" s="27" t="s">
        <v>200</v>
      </c>
      <c r="H46" s="27" t="str">
        <f t="shared" si="3"/>
        <v>Female</v>
      </c>
      <c r="I46" s="27" t="s">
        <v>548</v>
      </c>
      <c r="J46" s="27" t="s">
        <v>400</v>
      </c>
      <c r="K46" s="27" t="s">
        <v>213</v>
      </c>
      <c r="L46" s="27">
        <v>90017</v>
      </c>
      <c r="M46" s="28" t="str">
        <f t="shared" si="4"/>
        <v>4416 Woodstock Drive, Los Angeles, CA, 90017</v>
      </c>
      <c r="N46" s="27" t="s">
        <v>549</v>
      </c>
      <c r="O46" s="27" t="s">
        <v>550</v>
      </c>
      <c r="P46" s="28">
        <v>626</v>
      </c>
      <c r="Q46" s="28">
        <v>549</v>
      </c>
      <c r="R46" s="28">
        <v>9751</v>
      </c>
      <c r="S46" s="29" t="s">
        <v>551</v>
      </c>
      <c r="T46" s="28">
        <v>6767</v>
      </c>
    </row>
    <row r="47" spans="1:20" ht="14.25" customHeight="1">
      <c r="A47" s="27" t="s">
        <v>437</v>
      </c>
      <c r="B47" s="28" t="str">
        <f t="shared" si="0"/>
        <v>Patricia</v>
      </c>
      <c r="C47" s="27" t="s">
        <v>350</v>
      </c>
      <c r="D47" s="27" t="s">
        <v>552</v>
      </c>
      <c r="E47" s="28" t="str">
        <f t="shared" si="1"/>
        <v>Dent</v>
      </c>
      <c r="F47" s="28" t="str">
        <f t="shared" si="2"/>
        <v>Patricia Dent</v>
      </c>
      <c r="G47" s="27" t="s">
        <v>200</v>
      </c>
      <c r="H47" s="27" t="str">
        <f t="shared" si="3"/>
        <v>Female</v>
      </c>
      <c r="I47" s="27" t="s">
        <v>553</v>
      </c>
      <c r="J47" s="27" t="s">
        <v>554</v>
      </c>
      <c r="K47" s="27" t="s">
        <v>368</v>
      </c>
      <c r="L47" s="27">
        <v>33881</v>
      </c>
      <c r="M47" s="28" t="str">
        <f t="shared" si="4"/>
        <v>3500 Tetrick Road, Winter Haven, FL, 33881</v>
      </c>
      <c r="N47" s="27" t="s">
        <v>555</v>
      </c>
      <c r="O47" s="27" t="s">
        <v>556</v>
      </c>
      <c r="P47" s="28">
        <v>863</v>
      </c>
      <c r="Q47" s="28">
        <v>401</v>
      </c>
      <c r="R47" s="28">
        <v>8012</v>
      </c>
      <c r="S47" s="29" t="s">
        <v>557</v>
      </c>
      <c r="T47" s="28">
        <v>115</v>
      </c>
    </row>
    <row r="48" spans="1:20" ht="14.25" customHeight="1">
      <c r="A48" s="27" t="s">
        <v>558</v>
      </c>
      <c r="B48" s="28" t="str">
        <f t="shared" si="0"/>
        <v>Goldie</v>
      </c>
      <c r="C48" s="27" t="s">
        <v>235</v>
      </c>
      <c r="D48" s="27" t="s">
        <v>559</v>
      </c>
      <c r="E48" s="28" t="str">
        <f t="shared" si="1"/>
        <v>Castaneda</v>
      </c>
      <c r="F48" s="28" t="str">
        <f t="shared" si="2"/>
        <v>Goldie Castaneda</v>
      </c>
      <c r="G48" s="27" t="s">
        <v>200</v>
      </c>
      <c r="H48" s="27" t="str">
        <f t="shared" si="3"/>
        <v>Female</v>
      </c>
      <c r="I48" s="27" t="s">
        <v>560</v>
      </c>
      <c r="J48" s="27" t="s">
        <v>400</v>
      </c>
      <c r="K48" s="27" t="s">
        <v>213</v>
      </c>
      <c r="L48" s="27">
        <v>90017</v>
      </c>
      <c r="M48" s="28" t="str">
        <f t="shared" si="4"/>
        <v>3520 Aviation Way, Los Angeles, CA, 90017</v>
      </c>
      <c r="N48" s="27" t="s">
        <v>561</v>
      </c>
      <c r="O48" s="27" t="s">
        <v>562</v>
      </c>
      <c r="P48" s="28">
        <v>213</v>
      </c>
      <c r="Q48" s="28">
        <v>968</v>
      </c>
      <c r="R48" s="28">
        <v>522</v>
      </c>
      <c r="S48" s="29" t="s">
        <v>563</v>
      </c>
      <c r="T48" s="28">
        <v>980</v>
      </c>
    </row>
    <row r="49" spans="1:20" ht="14.25" customHeight="1">
      <c r="A49" s="27" t="s">
        <v>564</v>
      </c>
      <c r="B49" s="28" t="str">
        <f t="shared" si="0"/>
        <v>Kera</v>
      </c>
      <c r="C49" s="27" t="s">
        <v>226</v>
      </c>
      <c r="D49" s="27" t="s">
        <v>565</v>
      </c>
      <c r="E49" s="28" t="str">
        <f t="shared" si="1"/>
        <v>Davidson</v>
      </c>
      <c r="F49" s="28" t="str">
        <f t="shared" si="2"/>
        <v>Kera Davidson</v>
      </c>
      <c r="G49" s="27" t="s">
        <v>200</v>
      </c>
      <c r="H49" s="27" t="str">
        <f t="shared" si="3"/>
        <v>Female</v>
      </c>
      <c r="I49" s="27" t="s">
        <v>566</v>
      </c>
      <c r="J49" s="27" t="s">
        <v>567</v>
      </c>
      <c r="K49" s="27" t="s">
        <v>433</v>
      </c>
      <c r="L49" s="27">
        <v>2138</v>
      </c>
      <c r="M49" s="28" t="str">
        <f t="shared" si="4"/>
        <v>4601 Hillcrest Avenue, Cambridge, MA, 2138</v>
      </c>
      <c r="N49" s="27" t="s">
        <v>568</v>
      </c>
      <c r="O49" s="27" t="s">
        <v>569</v>
      </c>
      <c r="P49" s="28">
        <v>781</v>
      </c>
      <c r="Q49" s="28">
        <v>905</v>
      </c>
      <c r="R49" s="28">
        <v>8246</v>
      </c>
      <c r="S49" s="29" t="s">
        <v>570</v>
      </c>
      <c r="T49" s="28">
        <v>945</v>
      </c>
    </row>
    <row r="50" spans="1:20" ht="14.25" customHeight="1">
      <c r="A50" s="27" t="s">
        <v>571</v>
      </c>
      <c r="B50" s="28" t="str">
        <f t="shared" si="0"/>
        <v>Donna</v>
      </c>
      <c r="C50" s="27" t="s">
        <v>334</v>
      </c>
      <c r="D50" s="27" t="s">
        <v>572</v>
      </c>
      <c r="E50" s="28" t="str">
        <f t="shared" si="1"/>
        <v>Barnette</v>
      </c>
      <c r="F50" s="28" t="str">
        <f t="shared" si="2"/>
        <v>Donna Barnette</v>
      </c>
      <c r="G50" s="27" t="s">
        <v>200</v>
      </c>
      <c r="H50" s="27" t="str">
        <f t="shared" si="3"/>
        <v>Female</v>
      </c>
      <c r="I50" s="27" t="s">
        <v>573</v>
      </c>
      <c r="J50" s="27" t="s">
        <v>295</v>
      </c>
      <c r="K50" s="27" t="s">
        <v>256</v>
      </c>
      <c r="L50" s="27">
        <v>75247</v>
      </c>
      <c r="M50" s="28" t="str">
        <f t="shared" si="4"/>
        <v>2498 Ersel Street, Dallas, TX, 75247</v>
      </c>
      <c r="N50" s="27" t="s">
        <v>574</v>
      </c>
      <c r="O50" s="27" t="s">
        <v>575</v>
      </c>
      <c r="P50" s="28">
        <v>214</v>
      </c>
      <c r="Q50" s="28">
        <v>336</v>
      </c>
      <c r="R50" s="28">
        <v>5063</v>
      </c>
      <c r="S50" s="29" t="s">
        <v>576</v>
      </c>
      <c r="T50" s="28">
        <v>496</v>
      </c>
    </row>
    <row r="51" spans="1:20" ht="14.25" customHeight="1">
      <c r="A51" s="27" t="s">
        <v>577</v>
      </c>
      <c r="B51" s="28" t="str">
        <f t="shared" si="0"/>
        <v>Kellie</v>
      </c>
      <c r="C51" s="27" t="s">
        <v>381</v>
      </c>
      <c r="D51" s="27" t="s">
        <v>578</v>
      </c>
      <c r="E51" s="28" t="str">
        <f t="shared" si="1"/>
        <v>Brown</v>
      </c>
      <c r="F51" s="28" t="str">
        <f t="shared" si="2"/>
        <v>Kellie Brown</v>
      </c>
      <c r="G51" s="27" t="s">
        <v>200</v>
      </c>
      <c r="H51" s="27" t="str">
        <f t="shared" si="3"/>
        <v>Female</v>
      </c>
      <c r="I51" s="27" t="s">
        <v>579</v>
      </c>
      <c r="J51" s="27" t="s">
        <v>580</v>
      </c>
      <c r="K51" s="27" t="s">
        <v>581</v>
      </c>
      <c r="L51" s="27">
        <v>20191</v>
      </c>
      <c r="M51" s="28" t="str">
        <f t="shared" si="4"/>
        <v>2988 Pine Tree Lane, Reston, MD, 20191</v>
      </c>
      <c r="N51" s="27" t="s">
        <v>582</v>
      </c>
      <c r="O51" s="27" t="s">
        <v>583</v>
      </c>
      <c r="P51" s="28">
        <v>240</v>
      </c>
      <c r="Q51" s="28">
        <v>363</v>
      </c>
      <c r="R51" s="28">
        <v>9620</v>
      </c>
      <c r="S51" s="29" t="s">
        <v>584</v>
      </c>
      <c r="T51" s="28">
        <v>606</v>
      </c>
    </row>
    <row r="52" spans="1:20" ht="14.25" customHeight="1">
      <c r="A52" s="27" t="s">
        <v>585</v>
      </c>
      <c r="B52" s="28" t="str">
        <f t="shared" si="0"/>
        <v>Vena</v>
      </c>
      <c r="C52" s="27" t="s">
        <v>198</v>
      </c>
      <c r="D52" s="27" t="s">
        <v>586</v>
      </c>
      <c r="E52" s="28" t="str">
        <f t="shared" si="1"/>
        <v>Hamilton</v>
      </c>
      <c r="F52" s="28" t="str">
        <f t="shared" si="2"/>
        <v>Vena Hamilton</v>
      </c>
      <c r="G52" s="27" t="s">
        <v>200</v>
      </c>
      <c r="H52" s="27" t="str">
        <f t="shared" si="3"/>
        <v>Female</v>
      </c>
      <c r="I52" s="27" t="s">
        <v>587</v>
      </c>
      <c r="J52" s="27" t="s">
        <v>588</v>
      </c>
      <c r="K52" s="27" t="s">
        <v>256</v>
      </c>
      <c r="L52" s="27">
        <v>77701</v>
      </c>
      <c r="M52" s="28" t="str">
        <f t="shared" si="4"/>
        <v>922 Brookview Drive, Beaumont, TX, 77701</v>
      </c>
      <c r="N52" s="27" t="s">
        <v>589</v>
      </c>
      <c r="O52" s="27" t="s">
        <v>590</v>
      </c>
      <c r="P52" s="28">
        <v>409</v>
      </c>
      <c r="Q52" s="28">
        <v>232</v>
      </c>
      <c r="R52" s="28">
        <v>1330</v>
      </c>
      <c r="S52" s="29" t="s">
        <v>591</v>
      </c>
      <c r="T52" s="28">
        <v>7652</v>
      </c>
    </row>
    <row r="53" spans="1:20" ht="14.25" customHeight="1">
      <c r="A53" s="27" t="s">
        <v>333</v>
      </c>
      <c r="B53" s="28" t="str">
        <f t="shared" si="0"/>
        <v>Julie</v>
      </c>
      <c r="C53" s="27" t="s">
        <v>292</v>
      </c>
      <c r="D53" s="27" t="s">
        <v>592</v>
      </c>
      <c r="E53" s="28" t="str">
        <f t="shared" si="1"/>
        <v>Prall</v>
      </c>
      <c r="F53" s="28" t="str">
        <f t="shared" si="2"/>
        <v>Julie Prall</v>
      </c>
      <c r="G53" s="27" t="s">
        <v>200</v>
      </c>
      <c r="H53" s="27" t="str">
        <f t="shared" si="3"/>
        <v>Female</v>
      </c>
      <c r="I53" s="27" t="s">
        <v>593</v>
      </c>
      <c r="J53" s="27" t="s">
        <v>594</v>
      </c>
      <c r="K53" s="27" t="s">
        <v>345</v>
      </c>
      <c r="L53" s="27">
        <v>38261</v>
      </c>
      <c r="M53" s="28" t="str">
        <f t="shared" si="4"/>
        <v>2147 Lords Way, Union City, TN, 38261</v>
      </c>
      <c r="N53" s="27" t="s">
        <v>595</v>
      </c>
      <c r="O53" s="27" t="s">
        <v>596</v>
      </c>
      <c r="P53" s="28">
        <v>731</v>
      </c>
      <c r="Q53" s="28">
        <v>884</v>
      </c>
      <c r="R53" s="28">
        <v>2771</v>
      </c>
      <c r="S53" s="29" t="s">
        <v>597</v>
      </c>
      <c r="T53" s="28">
        <v>9769</v>
      </c>
    </row>
    <row r="54" spans="1:20" ht="14.25" customHeight="1">
      <c r="A54" s="27" t="s">
        <v>598</v>
      </c>
      <c r="B54" s="28" t="str">
        <f t="shared" si="0"/>
        <v>Victor</v>
      </c>
      <c r="C54" s="27" t="s">
        <v>334</v>
      </c>
      <c r="D54" s="27" t="s">
        <v>599</v>
      </c>
      <c r="E54" s="28" t="str">
        <f t="shared" si="1"/>
        <v>Williams</v>
      </c>
      <c r="F54" s="28" t="str">
        <f t="shared" si="2"/>
        <v>Victor Williams</v>
      </c>
      <c r="G54" s="27" t="s">
        <v>210</v>
      </c>
      <c r="H54" s="27" t="str">
        <f t="shared" si="3"/>
        <v>Male</v>
      </c>
      <c r="I54" s="27" t="s">
        <v>600</v>
      </c>
      <c r="J54" s="27" t="s">
        <v>601</v>
      </c>
      <c r="K54" s="27" t="s">
        <v>345</v>
      </c>
      <c r="L54" s="27">
        <v>37211</v>
      </c>
      <c r="M54" s="28" t="str">
        <f t="shared" si="4"/>
        <v>816 Glory Road, Nashville, TN, 37211</v>
      </c>
      <c r="N54" s="27" t="s">
        <v>602</v>
      </c>
      <c r="O54" s="27" t="s">
        <v>603</v>
      </c>
      <c r="P54" s="28">
        <v>931</v>
      </c>
      <c r="Q54" s="28">
        <v>735</v>
      </c>
      <c r="R54" s="28">
        <v>448</v>
      </c>
      <c r="S54" s="29" t="s">
        <v>604</v>
      </c>
      <c r="T54" s="28">
        <v>6978</v>
      </c>
    </row>
    <row r="55" spans="1:20" ht="14.25" customHeight="1">
      <c r="A55" s="27" t="s">
        <v>605</v>
      </c>
      <c r="B55" s="28" t="str">
        <f t="shared" si="0"/>
        <v>Gracie</v>
      </c>
      <c r="C55" s="27" t="s">
        <v>300</v>
      </c>
      <c r="D55" s="27" t="s">
        <v>606</v>
      </c>
      <c r="E55" s="28" t="str">
        <f t="shared" si="1"/>
        <v>Gonzalez</v>
      </c>
      <c r="F55" s="28" t="str">
        <f t="shared" si="2"/>
        <v>Gracie Gonzalez</v>
      </c>
      <c r="G55" s="27" t="s">
        <v>200</v>
      </c>
      <c r="H55" s="27" t="str">
        <f t="shared" si="3"/>
        <v>Female</v>
      </c>
      <c r="I55" s="27" t="s">
        <v>607</v>
      </c>
      <c r="J55" s="27" t="s">
        <v>608</v>
      </c>
      <c r="K55" s="27" t="s">
        <v>609</v>
      </c>
      <c r="L55" s="27">
        <v>80202</v>
      </c>
      <c r="M55" s="28" t="str">
        <f t="shared" si="4"/>
        <v>292 Sweetwood Drive, Denver, CO, 80202</v>
      </c>
      <c r="N55" s="27" t="s">
        <v>610</v>
      </c>
      <c r="O55" s="27" t="s">
        <v>611</v>
      </c>
      <c r="P55" s="28">
        <v>303</v>
      </c>
      <c r="Q55" s="28">
        <v>376</v>
      </c>
      <c r="R55" s="28">
        <v>7959</v>
      </c>
      <c r="S55" s="29" t="s">
        <v>612</v>
      </c>
      <c r="T55" s="28">
        <v>7511</v>
      </c>
    </row>
    <row r="56" spans="1:20" ht="14.25" customHeight="1">
      <c r="A56" s="27" t="s">
        <v>613</v>
      </c>
      <c r="B56" s="28" t="str">
        <f t="shared" si="0"/>
        <v>Leonila</v>
      </c>
      <c r="C56" s="27" t="s">
        <v>208</v>
      </c>
      <c r="D56" s="27" t="s">
        <v>614</v>
      </c>
      <c r="E56" s="28" t="str">
        <f t="shared" si="1"/>
        <v>Bombard</v>
      </c>
      <c r="F56" s="28" t="str">
        <f t="shared" si="2"/>
        <v>Leonila Bombard</v>
      </c>
      <c r="G56" s="27" t="s">
        <v>200</v>
      </c>
      <c r="H56" s="27" t="str">
        <f t="shared" si="3"/>
        <v>Female</v>
      </c>
      <c r="I56" s="27" t="s">
        <v>615</v>
      </c>
      <c r="J56" s="27" t="s">
        <v>616</v>
      </c>
      <c r="K56" s="27" t="s">
        <v>368</v>
      </c>
      <c r="L56" s="27">
        <v>32019</v>
      </c>
      <c r="M56" s="28" t="str">
        <f t="shared" si="4"/>
        <v>1997 Willis Avenue, Port Orange, FL, 32019</v>
      </c>
      <c r="N56" s="27" t="s">
        <v>617</v>
      </c>
      <c r="O56" s="27" t="s">
        <v>618</v>
      </c>
      <c r="P56" s="28">
        <v>386</v>
      </c>
      <c r="Q56" s="28">
        <v>562</v>
      </c>
      <c r="R56" s="28">
        <v>8256</v>
      </c>
      <c r="S56" s="29" t="s">
        <v>619</v>
      </c>
      <c r="T56" s="28">
        <v>998</v>
      </c>
    </row>
    <row r="57" spans="1:20" ht="14.25" customHeight="1">
      <c r="A57" s="27" t="s">
        <v>620</v>
      </c>
      <c r="B57" s="28" t="str">
        <f t="shared" si="0"/>
        <v>Christina</v>
      </c>
      <c r="C57" s="27" t="s">
        <v>226</v>
      </c>
      <c r="D57" s="27" t="s">
        <v>621</v>
      </c>
      <c r="E57" s="28" t="str">
        <f t="shared" si="1"/>
        <v>Richter</v>
      </c>
      <c r="F57" s="28" t="str">
        <f t="shared" si="2"/>
        <v>Christina Richter</v>
      </c>
      <c r="G57" s="27" t="s">
        <v>200</v>
      </c>
      <c r="H57" s="27" t="str">
        <f t="shared" si="3"/>
        <v>Female</v>
      </c>
      <c r="I57" s="27" t="s">
        <v>622</v>
      </c>
      <c r="J57" s="27" t="s">
        <v>483</v>
      </c>
      <c r="K57" s="27" t="s">
        <v>368</v>
      </c>
      <c r="L57" s="27">
        <v>33901</v>
      </c>
      <c r="M57" s="28" t="str">
        <f t="shared" si="4"/>
        <v>3169 Wilkinson Court, Fort Myers, FL, 33901</v>
      </c>
      <c r="N57" s="27" t="s">
        <v>623</v>
      </c>
      <c r="O57" s="27" t="s">
        <v>624</v>
      </c>
      <c r="P57" s="28">
        <v>239</v>
      </c>
      <c r="Q57" s="28">
        <v>633</v>
      </c>
      <c r="R57" s="28">
        <v>4155</v>
      </c>
      <c r="S57" s="29" t="s">
        <v>625</v>
      </c>
      <c r="T57" s="28">
        <v>9162</v>
      </c>
    </row>
    <row r="58" spans="1:20" ht="14.25" customHeight="1">
      <c r="A58" s="27" t="s">
        <v>626</v>
      </c>
      <c r="B58" s="28" t="str">
        <f t="shared" si="0"/>
        <v>Brenda</v>
      </c>
      <c r="C58" s="27" t="s">
        <v>252</v>
      </c>
      <c r="D58" s="27" t="s">
        <v>627</v>
      </c>
      <c r="E58" s="28" t="str">
        <f t="shared" si="1"/>
        <v>Hodges</v>
      </c>
      <c r="F58" s="28" t="str">
        <f t="shared" si="2"/>
        <v>Brenda Hodges</v>
      </c>
      <c r="G58" s="27" t="s">
        <v>200</v>
      </c>
      <c r="H58" s="27" t="str">
        <f t="shared" si="3"/>
        <v>Female</v>
      </c>
      <c r="I58" s="27" t="s">
        <v>628</v>
      </c>
      <c r="J58" s="27" t="s">
        <v>353</v>
      </c>
      <c r="K58" s="27" t="s">
        <v>203</v>
      </c>
      <c r="L58" s="27">
        <v>60605</v>
      </c>
      <c r="M58" s="28" t="str">
        <f t="shared" si="4"/>
        <v>1795 Fraggle Drive, Chicago, IL, 60605</v>
      </c>
      <c r="N58" s="27" t="s">
        <v>629</v>
      </c>
      <c r="O58" s="27" t="s">
        <v>630</v>
      </c>
      <c r="P58" s="28">
        <v>630</v>
      </c>
      <c r="Q58" s="28">
        <v>354</v>
      </c>
      <c r="R58" s="28">
        <v>1426</v>
      </c>
      <c r="S58" s="29" t="s">
        <v>631</v>
      </c>
      <c r="T58" s="28">
        <v>20</v>
      </c>
    </row>
    <row r="59" spans="1:20" ht="14.25" customHeight="1">
      <c r="A59" s="27" t="s">
        <v>632</v>
      </c>
      <c r="B59" s="28" t="str">
        <f t="shared" si="0"/>
        <v>Carmelo</v>
      </c>
      <c r="C59" s="27" t="s">
        <v>381</v>
      </c>
      <c r="D59" s="27" t="s">
        <v>633</v>
      </c>
      <c r="E59" s="28" t="str">
        <f t="shared" si="1"/>
        <v>Preuss</v>
      </c>
      <c r="F59" s="28" t="str">
        <f t="shared" si="2"/>
        <v>Carmelo Preuss</v>
      </c>
      <c r="G59" s="27" t="s">
        <v>210</v>
      </c>
      <c r="H59" s="27" t="str">
        <f t="shared" si="3"/>
        <v>Male</v>
      </c>
      <c r="I59" s="27" t="s">
        <v>634</v>
      </c>
      <c r="J59" s="27" t="s">
        <v>635</v>
      </c>
      <c r="K59" s="27" t="s">
        <v>385</v>
      </c>
      <c r="L59" s="27">
        <v>84734</v>
      </c>
      <c r="M59" s="28" t="str">
        <f t="shared" si="4"/>
        <v>2545 Lang Avenue, Ticaboo, UT, 84734</v>
      </c>
      <c r="N59" s="27" t="s">
        <v>636</v>
      </c>
      <c r="O59" s="27" t="s">
        <v>637</v>
      </c>
      <c r="P59" s="28">
        <v>435</v>
      </c>
      <c r="Q59" s="28">
        <v>788</v>
      </c>
      <c r="R59" s="28">
        <v>1677</v>
      </c>
      <c r="S59" s="29" t="s">
        <v>638</v>
      </c>
      <c r="T59" s="28">
        <v>635</v>
      </c>
    </row>
    <row r="60" spans="1:20" ht="14.25" customHeight="1">
      <c r="A60" s="27" t="s">
        <v>639</v>
      </c>
      <c r="B60" s="28" t="str">
        <f t="shared" si="0"/>
        <v>David</v>
      </c>
      <c r="C60" s="27" t="s">
        <v>350</v>
      </c>
      <c r="D60" s="27" t="s">
        <v>640</v>
      </c>
      <c r="E60" s="28" t="str">
        <f t="shared" si="1"/>
        <v>Sisco</v>
      </c>
      <c r="F60" s="28" t="str">
        <f t="shared" si="2"/>
        <v>David Sisco</v>
      </c>
      <c r="G60" s="27" t="s">
        <v>210</v>
      </c>
      <c r="H60" s="27" t="str">
        <f t="shared" si="3"/>
        <v>Male</v>
      </c>
      <c r="I60" s="27" t="s">
        <v>641</v>
      </c>
      <c r="J60" s="27" t="s">
        <v>642</v>
      </c>
      <c r="K60" s="27" t="s">
        <v>272</v>
      </c>
      <c r="L60" s="27">
        <v>13202</v>
      </c>
      <c r="M60" s="28" t="str">
        <f t="shared" si="4"/>
        <v>3552 Buckhannan Avenue, Syracuse, NY, 13202</v>
      </c>
      <c r="N60" s="27" t="s">
        <v>643</v>
      </c>
      <c r="O60" s="27" t="s">
        <v>644</v>
      </c>
      <c r="P60" s="28">
        <v>315</v>
      </c>
      <c r="Q60" s="28">
        <v>479</v>
      </c>
      <c r="R60" s="28">
        <v>9958</v>
      </c>
      <c r="S60" s="29" t="s">
        <v>645</v>
      </c>
      <c r="T60" s="28">
        <v>354</v>
      </c>
    </row>
    <row r="61" spans="1:20" ht="14.25" customHeight="1">
      <c r="A61" s="27" t="s">
        <v>646</v>
      </c>
      <c r="B61" s="28" t="str">
        <f t="shared" si="0"/>
        <v>Terry</v>
      </c>
      <c r="C61" s="27" t="s">
        <v>198</v>
      </c>
      <c r="D61" s="27" t="s">
        <v>647</v>
      </c>
      <c r="E61" s="28" t="str">
        <f t="shared" si="1"/>
        <v>Gilbert</v>
      </c>
      <c r="F61" s="28" t="str">
        <f t="shared" si="2"/>
        <v>Terry Gilbert</v>
      </c>
      <c r="G61" s="27" t="s">
        <v>210</v>
      </c>
      <c r="H61" s="27" t="str">
        <f t="shared" si="3"/>
        <v>Male</v>
      </c>
      <c r="I61" s="27" t="s">
        <v>648</v>
      </c>
      <c r="J61" s="27" t="s">
        <v>649</v>
      </c>
      <c r="K61" s="27" t="s">
        <v>650</v>
      </c>
      <c r="L61" s="27">
        <v>74034</v>
      </c>
      <c r="M61" s="28" t="str">
        <f t="shared" si="4"/>
        <v>1787 Hornor Avenue, Hallett, OK, 74034</v>
      </c>
      <c r="N61" s="27" t="s">
        <v>651</v>
      </c>
      <c r="O61" s="27" t="s">
        <v>652</v>
      </c>
      <c r="P61" s="28">
        <v>918</v>
      </c>
      <c r="Q61" s="28">
        <v>356</v>
      </c>
      <c r="R61" s="28">
        <v>3119</v>
      </c>
      <c r="S61" s="29" t="s">
        <v>653</v>
      </c>
      <c r="T61" s="28">
        <v>962</v>
      </c>
    </row>
    <row r="62" spans="1:20" ht="14.25" customHeight="1">
      <c r="A62" s="27" t="s">
        <v>654</v>
      </c>
      <c r="B62" s="28" t="str">
        <f t="shared" si="0"/>
        <v>Homer</v>
      </c>
      <c r="C62" s="27" t="s">
        <v>300</v>
      </c>
      <c r="D62" s="27" t="s">
        <v>655</v>
      </c>
      <c r="E62" s="28" t="str">
        <f t="shared" si="1"/>
        <v>Latham</v>
      </c>
      <c r="F62" s="28" t="str">
        <f t="shared" si="2"/>
        <v>Homer Latham</v>
      </c>
      <c r="G62" s="27" t="s">
        <v>210</v>
      </c>
      <c r="H62" s="27" t="str">
        <f t="shared" si="3"/>
        <v>Male</v>
      </c>
      <c r="I62" s="27" t="s">
        <v>656</v>
      </c>
      <c r="J62" s="27" t="s">
        <v>657</v>
      </c>
      <c r="K62" s="27" t="s">
        <v>658</v>
      </c>
      <c r="L62" s="27">
        <v>57238</v>
      </c>
      <c r="M62" s="28" t="str">
        <f t="shared" si="4"/>
        <v>2930 Hartway Street, Goodwin, SD, 57238</v>
      </c>
      <c r="N62" s="27" t="s">
        <v>659</v>
      </c>
      <c r="O62" s="27" t="s">
        <v>660</v>
      </c>
      <c r="P62" s="28">
        <v>605</v>
      </c>
      <c r="Q62" s="28">
        <v>795</v>
      </c>
      <c r="R62" s="28">
        <v>1731</v>
      </c>
      <c r="S62" s="29" t="s">
        <v>661</v>
      </c>
      <c r="T62" s="28">
        <v>6207</v>
      </c>
    </row>
    <row r="63" spans="1:20" ht="14.25" customHeight="1">
      <c r="A63" s="27" t="s">
        <v>662</v>
      </c>
      <c r="B63" s="28" t="str">
        <f t="shared" si="0"/>
        <v>Argentina</v>
      </c>
      <c r="C63" s="27" t="s">
        <v>511</v>
      </c>
      <c r="D63" s="27" t="s">
        <v>663</v>
      </c>
      <c r="E63" s="28" t="str">
        <f t="shared" si="1"/>
        <v>Clark</v>
      </c>
      <c r="F63" s="28" t="str">
        <f t="shared" si="2"/>
        <v>Argentina Clark</v>
      </c>
      <c r="G63" s="27" t="s">
        <v>200</v>
      </c>
      <c r="H63" s="27" t="str">
        <f t="shared" si="3"/>
        <v>Female</v>
      </c>
      <c r="I63" s="27" t="s">
        <v>664</v>
      </c>
      <c r="J63" s="27" t="s">
        <v>665</v>
      </c>
      <c r="K63" s="27" t="s">
        <v>272</v>
      </c>
      <c r="L63" s="27">
        <v>14227</v>
      </c>
      <c r="M63" s="28" t="str">
        <f t="shared" si="4"/>
        <v>4249 Orphan Road, Cheektowaga, NY, 14227</v>
      </c>
      <c r="N63" s="27" t="s">
        <v>666</v>
      </c>
      <c r="O63" s="27" t="s">
        <v>667</v>
      </c>
      <c r="P63" s="28">
        <v>716</v>
      </c>
      <c r="Q63" s="28">
        <v>228</v>
      </c>
      <c r="R63" s="28">
        <v>4814</v>
      </c>
      <c r="S63" s="29" t="s">
        <v>668</v>
      </c>
      <c r="T63" s="28">
        <v>6051</v>
      </c>
    </row>
    <row r="64" spans="1:20" ht="14.25" customHeight="1">
      <c r="A64" s="27" t="s">
        <v>669</v>
      </c>
      <c r="B64" s="28" t="str">
        <f t="shared" si="0"/>
        <v>Raymond</v>
      </c>
      <c r="C64" s="27" t="s">
        <v>226</v>
      </c>
      <c r="D64" s="27" t="s">
        <v>405</v>
      </c>
      <c r="E64" s="28" t="str">
        <f t="shared" si="1"/>
        <v>Taylor</v>
      </c>
      <c r="F64" s="28" t="str">
        <f t="shared" si="2"/>
        <v>Raymond Taylor</v>
      </c>
      <c r="G64" s="27" t="s">
        <v>210</v>
      </c>
      <c r="H64" s="27" t="str">
        <f t="shared" si="3"/>
        <v>Male</v>
      </c>
      <c r="I64" s="27" t="s">
        <v>670</v>
      </c>
      <c r="J64" s="27" t="s">
        <v>671</v>
      </c>
      <c r="K64" s="27" t="s">
        <v>368</v>
      </c>
      <c r="L64" s="27">
        <v>33311</v>
      </c>
      <c r="M64" s="28" t="str">
        <f t="shared" si="4"/>
        <v>377 Warner Street, Ft Lauderdale, FL, 33311</v>
      </c>
      <c r="N64" s="27" t="s">
        <v>672</v>
      </c>
      <c r="O64" s="27" t="s">
        <v>673</v>
      </c>
      <c r="P64" s="28">
        <v>305</v>
      </c>
      <c r="Q64" s="28">
        <v>965</v>
      </c>
      <c r="R64" s="28">
        <v>4543</v>
      </c>
      <c r="S64" s="29" t="s">
        <v>674</v>
      </c>
      <c r="T64" s="28">
        <v>6996</v>
      </c>
    </row>
    <row r="65" spans="1:20" ht="14.25" customHeight="1">
      <c r="A65" s="27" t="s">
        <v>437</v>
      </c>
      <c r="B65" s="28" t="str">
        <f t="shared" si="0"/>
        <v>Patricia</v>
      </c>
      <c r="C65" s="27" t="s">
        <v>350</v>
      </c>
      <c r="D65" s="27" t="s">
        <v>675</v>
      </c>
      <c r="E65" s="28" t="str">
        <f t="shared" si="1"/>
        <v>Harrison</v>
      </c>
      <c r="F65" s="28" t="str">
        <f t="shared" si="2"/>
        <v>Patricia Harrison</v>
      </c>
      <c r="G65" s="27" t="s">
        <v>200</v>
      </c>
      <c r="H65" s="27" t="str">
        <f t="shared" si="3"/>
        <v>Female</v>
      </c>
      <c r="I65" s="27" t="s">
        <v>676</v>
      </c>
      <c r="J65" s="27" t="s">
        <v>677</v>
      </c>
      <c r="K65" s="27" t="s">
        <v>256</v>
      </c>
      <c r="L65" s="27">
        <v>79106</v>
      </c>
      <c r="M65" s="28" t="str">
        <f t="shared" si="4"/>
        <v>4023 Smithfield Avenue, Amarillo, TX, 79106</v>
      </c>
      <c r="N65" s="27" t="s">
        <v>678</v>
      </c>
      <c r="O65" s="27" t="s">
        <v>679</v>
      </c>
      <c r="P65" s="28">
        <v>806</v>
      </c>
      <c r="Q65" s="28">
        <v>664</v>
      </c>
      <c r="R65" s="28">
        <v>5258</v>
      </c>
      <c r="S65" s="29" t="s">
        <v>680</v>
      </c>
      <c r="T65" s="28">
        <v>6390</v>
      </c>
    </row>
    <row r="66" spans="1:20" ht="14.25" customHeight="1">
      <c r="A66" s="27" t="s">
        <v>419</v>
      </c>
      <c r="B66" s="28" t="str">
        <f t="shared" si="0"/>
        <v>Robert</v>
      </c>
      <c r="C66" s="27" t="s">
        <v>252</v>
      </c>
      <c r="D66" s="27" t="s">
        <v>681</v>
      </c>
      <c r="E66" s="28" t="str">
        <f t="shared" si="1"/>
        <v>King</v>
      </c>
      <c r="F66" s="28" t="str">
        <f t="shared" si="2"/>
        <v>Robert King</v>
      </c>
      <c r="G66" s="27" t="s">
        <v>210</v>
      </c>
      <c r="H66" s="27" t="str">
        <f t="shared" si="3"/>
        <v>Male</v>
      </c>
      <c r="I66" s="27" t="s">
        <v>682</v>
      </c>
      <c r="J66" s="27" t="s">
        <v>683</v>
      </c>
      <c r="K66" s="27" t="s">
        <v>684</v>
      </c>
      <c r="L66" s="27">
        <v>47591</v>
      </c>
      <c r="M66" s="28" t="str">
        <f t="shared" si="4"/>
        <v>3737 Stratford Park, Vincennes, IN, 47591</v>
      </c>
      <c r="N66" s="27" t="s">
        <v>685</v>
      </c>
      <c r="O66" s="27" t="s">
        <v>686</v>
      </c>
      <c r="P66" s="28">
        <v>812</v>
      </c>
      <c r="Q66" s="28">
        <v>881</v>
      </c>
      <c r="R66" s="28">
        <v>5928</v>
      </c>
      <c r="S66" s="29" t="s">
        <v>687</v>
      </c>
      <c r="T66" s="28">
        <v>222</v>
      </c>
    </row>
    <row r="67" spans="1:20" ht="14.25" customHeight="1">
      <c r="A67" s="27" t="s">
        <v>688</v>
      </c>
      <c r="B67" s="28" t="str">
        <f t="shared" si="0"/>
        <v>Pedro</v>
      </c>
      <c r="C67" s="27" t="s">
        <v>226</v>
      </c>
      <c r="D67" s="27" t="s">
        <v>689</v>
      </c>
      <c r="E67" s="28" t="str">
        <f t="shared" si="1"/>
        <v>Padgett</v>
      </c>
      <c r="F67" s="28" t="str">
        <f t="shared" si="2"/>
        <v>Pedro Padgett</v>
      </c>
      <c r="G67" s="27" t="s">
        <v>210</v>
      </c>
      <c r="H67" s="27" t="str">
        <f t="shared" si="3"/>
        <v>Male</v>
      </c>
      <c r="I67" s="27" t="s">
        <v>690</v>
      </c>
      <c r="J67" s="27" t="s">
        <v>691</v>
      </c>
      <c r="K67" s="27" t="s">
        <v>221</v>
      </c>
      <c r="L67" s="27">
        <v>8104</v>
      </c>
      <c r="M67" s="28" t="str">
        <f t="shared" si="4"/>
        <v>1636 Lake Road, Camden, NJ, 8104</v>
      </c>
      <c r="N67" s="27" t="s">
        <v>692</v>
      </c>
      <c r="O67" s="27" t="s">
        <v>693</v>
      </c>
      <c r="P67" s="28">
        <v>609</v>
      </c>
      <c r="Q67" s="28">
        <v>326</v>
      </c>
      <c r="R67" s="28">
        <v>3881</v>
      </c>
      <c r="S67" s="29" t="s">
        <v>694</v>
      </c>
      <c r="T67" s="28">
        <v>475</v>
      </c>
    </row>
    <row r="68" spans="1:20" ht="14.25" customHeight="1">
      <c r="A68" s="27" t="s">
        <v>234</v>
      </c>
      <c r="B68" s="28" t="str">
        <f t="shared" si="0"/>
        <v>John</v>
      </c>
      <c r="C68" s="27" t="s">
        <v>300</v>
      </c>
      <c r="D68" s="27" t="s">
        <v>695</v>
      </c>
      <c r="E68" s="28" t="str">
        <f t="shared" si="1"/>
        <v>Mclaughlin</v>
      </c>
      <c r="F68" s="28" t="str">
        <f t="shared" si="2"/>
        <v>John Mclaughlin</v>
      </c>
      <c r="G68" s="27" t="s">
        <v>210</v>
      </c>
      <c r="H68" s="27" t="str">
        <f t="shared" si="3"/>
        <v>Male</v>
      </c>
      <c r="I68" s="27" t="s">
        <v>696</v>
      </c>
      <c r="J68" s="27" t="s">
        <v>697</v>
      </c>
      <c r="K68" s="27" t="s">
        <v>698</v>
      </c>
      <c r="L68" s="27">
        <v>39322</v>
      </c>
      <c r="M68" s="28" t="str">
        <f t="shared" si="4"/>
        <v>2751 Walnut Street, Buckatunna, MS, 39322</v>
      </c>
      <c r="N68" s="27" t="s">
        <v>699</v>
      </c>
      <c r="O68" s="27" t="s">
        <v>700</v>
      </c>
      <c r="P68" s="28">
        <v>601</v>
      </c>
      <c r="Q68" s="28">
        <v>648</v>
      </c>
      <c r="R68" s="28">
        <v>9349</v>
      </c>
      <c r="S68" s="29" t="s">
        <v>701</v>
      </c>
      <c r="T68" s="28">
        <v>709</v>
      </c>
    </row>
    <row r="69" spans="1:20" ht="14.25" customHeight="1">
      <c r="A69" s="27" t="s">
        <v>702</v>
      </c>
      <c r="B69" s="28" t="str">
        <f t="shared" si="0"/>
        <v>Lakesha</v>
      </c>
      <c r="C69" s="27" t="s">
        <v>465</v>
      </c>
      <c r="D69" s="27" t="s">
        <v>703</v>
      </c>
      <c r="E69" s="28" t="str">
        <f t="shared" si="1"/>
        <v>Johnson</v>
      </c>
      <c r="F69" s="28" t="str">
        <f t="shared" si="2"/>
        <v>Lakesha Johnson</v>
      </c>
      <c r="G69" s="27" t="s">
        <v>200</v>
      </c>
      <c r="H69" s="27" t="str">
        <f t="shared" si="3"/>
        <v>Female</v>
      </c>
      <c r="I69" s="27" t="s">
        <v>704</v>
      </c>
      <c r="J69" s="27" t="s">
        <v>705</v>
      </c>
      <c r="K69" s="27" t="s">
        <v>706</v>
      </c>
      <c r="L69" s="27">
        <v>16668</v>
      </c>
      <c r="M69" s="28" t="str">
        <f t="shared" si="4"/>
        <v>4832 Harley Brook Lane, Patton, PA, 16668</v>
      </c>
      <c r="N69" s="27" t="s">
        <v>707</v>
      </c>
      <c r="O69" s="27" t="s">
        <v>708</v>
      </c>
      <c r="P69" s="28">
        <v>814</v>
      </c>
      <c r="Q69" s="28">
        <v>674</v>
      </c>
      <c r="R69" s="28">
        <v>1968</v>
      </c>
      <c r="S69" s="29" t="s">
        <v>709</v>
      </c>
      <c r="T69" s="28">
        <v>7331</v>
      </c>
    </row>
    <row r="70" spans="1:20" ht="14.25" customHeight="1">
      <c r="A70" s="27" t="s">
        <v>710</v>
      </c>
      <c r="B70" s="28" t="str">
        <f t="shared" si="0"/>
        <v>Lucinda</v>
      </c>
      <c r="C70" s="27" t="s">
        <v>300</v>
      </c>
      <c r="D70" s="27" t="s">
        <v>711</v>
      </c>
      <c r="E70" s="28" t="str">
        <f t="shared" si="1"/>
        <v>Gribble</v>
      </c>
      <c r="F70" s="28" t="str">
        <f t="shared" si="2"/>
        <v>Lucinda Gribble</v>
      </c>
      <c r="G70" s="27" t="s">
        <v>200</v>
      </c>
      <c r="H70" s="27" t="str">
        <f t="shared" si="3"/>
        <v>Female</v>
      </c>
      <c r="I70" s="27" t="s">
        <v>712</v>
      </c>
      <c r="J70" s="27" t="s">
        <v>360</v>
      </c>
      <c r="K70" s="27" t="s">
        <v>256</v>
      </c>
      <c r="L70" s="27">
        <v>77002</v>
      </c>
      <c r="M70" s="28" t="str">
        <f t="shared" si="4"/>
        <v>2075 Gore Street, Houston, TX, 77002</v>
      </c>
      <c r="N70" s="27" t="s">
        <v>713</v>
      </c>
      <c r="O70" s="27" t="s">
        <v>714</v>
      </c>
      <c r="P70" s="28">
        <v>713</v>
      </c>
      <c r="Q70" s="28">
        <v>609</v>
      </c>
      <c r="R70" s="28">
        <v>8148</v>
      </c>
      <c r="S70" s="29" t="s">
        <v>715</v>
      </c>
      <c r="T70" s="28">
        <v>976</v>
      </c>
    </row>
    <row r="71" spans="1:20" ht="14.25" customHeight="1">
      <c r="A71" s="27" t="s">
        <v>716</v>
      </c>
      <c r="B71" s="28" t="str">
        <f t="shared" si="0"/>
        <v>Mildred</v>
      </c>
      <c r="C71" s="27" t="s">
        <v>235</v>
      </c>
      <c r="D71" s="27" t="s">
        <v>717</v>
      </c>
      <c r="E71" s="28" t="str">
        <f t="shared" si="1"/>
        <v>Greene</v>
      </c>
      <c r="F71" s="28" t="str">
        <f t="shared" si="2"/>
        <v>Mildred Greene</v>
      </c>
      <c r="G71" s="27" t="s">
        <v>200</v>
      </c>
      <c r="H71" s="27" t="str">
        <f t="shared" si="3"/>
        <v>Female</v>
      </c>
      <c r="I71" s="27" t="s">
        <v>718</v>
      </c>
      <c r="J71" s="27" t="s">
        <v>719</v>
      </c>
      <c r="K71" s="27" t="s">
        <v>256</v>
      </c>
      <c r="L71" s="27">
        <v>79703</v>
      </c>
      <c r="M71" s="28" t="str">
        <f t="shared" si="4"/>
        <v>2538 Laurel Lane, Terminal, TX, 79703</v>
      </c>
      <c r="N71" s="27" t="s">
        <v>720</v>
      </c>
      <c r="O71" s="27" t="s">
        <v>721</v>
      </c>
      <c r="P71" s="28">
        <v>432</v>
      </c>
      <c r="Q71" s="28">
        <v>495</v>
      </c>
      <c r="R71" s="28">
        <v>7060</v>
      </c>
      <c r="S71" s="29" t="s">
        <v>722</v>
      </c>
      <c r="T71" s="28">
        <v>596</v>
      </c>
    </row>
    <row r="72" spans="1:20" ht="14.25" customHeight="1">
      <c r="A72" s="27" t="s">
        <v>723</v>
      </c>
      <c r="B72" s="28" t="str">
        <f t="shared" si="0"/>
        <v>Sally</v>
      </c>
      <c r="C72" s="27" t="s">
        <v>235</v>
      </c>
      <c r="D72" s="27" t="s">
        <v>724</v>
      </c>
      <c r="E72" s="28" t="str">
        <f t="shared" si="1"/>
        <v>Hayes</v>
      </c>
      <c r="F72" s="28" t="str">
        <f t="shared" si="2"/>
        <v>Sally Hayes</v>
      </c>
      <c r="G72" s="27" t="s">
        <v>200</v>
      </c>
      <c r="H72" s="27" t="str">
        <f t="shared" si="3"/>
        <v>Female</v>
      </c>
      <c r="I72" s="27" t="s">
        <v>725</v>
      </c>
      <c r="J72" s="27" t="s">
        <v>726</v>
      </c>
      <c r="K72" s="27" t="s">
        <v>727</v>
      </c>
      <c r="L72" s="27">
        <v>50401</v>
      </c>
      <c r="M72" s="28" t="str">
        <f t="shared" si="4"/>
        <v>3782 Southern Avenue, Mason City, IA, 50401</v>
      </c>
      <c r="N72" s="27" t="s">
        <v>728</v>
      </c>
      <c r="O72" s="27" t="s">
        <v>729</v>
      </c>
      <c r="P72" s="28">
        <v>641</v>
      </c>
      <c r="Q72" s="28">
        <v>422</v>
      </c>
      <c r="R72" s="28">
        <v>1921</v>
      </c>
      <c r="S72" s="29" t="s">
        <v>730</v>
      </c>
      <c r="T72" s="28">
        <v>77</v>
      </c>
    </row>
    <row r="73" spans="1:20" ht="14.25" customHeight="1">
      <c r="A73" s="27" t="s">
        <v>731</v>
      </c>
      <c r="B73" s="28" t="str">
        <f t="shared" si="0"/>
        <v>Augustine</v>
      </c>
      <c r="C73" s="27" t="s">
        <v>252</v>
      </c>
      <c r="D73" s="27" t="s">
        <v>405</v>
      </c>
      <c r="E73" s="28" t="str">
        <f t="shared" si="1"/>
        <v>Taylor</v>
      </c>
      <c r="F73" s="28" t="str">
        <f t="shared" si="2"/>
        <v>Augustine Taylor</v>
      </c>
      <c r="G73" s="27" t="s">
        <v>210</v>
      </c>
      <c r="H73" s="27" t="str">
        <f t="shared" si="3"/>
        <v>Male</v>
      </c>
      <c r="I73" s="27" t="s">
        <v>732</v>
      </c>
      <c r="J73" s="27" t="s">
        <v>733</v>
      </c>
      <c r="K73" s="27" t="s">
        <v>213</v>
      </c>
      <c r="L73" s="27">
        <v>94010</v>
      </c>
      <c r="M73" s="28" t="str">
        <f t="shared" si="4"/>
        <v>1956 Thunder Road, Burlingame, CA, 94010</v>
      </c>
      <c r="N73" s="27" t="s">
        <v>734</v>
      </c>
      <c r="O73" s="27" t="s">
        <v>735</v>
      </c>
      <c r="P73" s="28">
        <v>650</v>
      </c>
      <c r="Q73" s="28">
        <v>548</v>
      </c>
      <c r="R73" s="28">
        <v>4339</v>
      </c>
      <c r="S73" s="29" t="s">
        <v>736</v>
      </c>
      <c r="T73" s="28">
        <v>981</v>
      </c>
    </row>
    <row r="74" spans="1:20" ht="14.25" customHeight="1">
      <c r="A74" s="27" t="s">
        <v>737</v>
      </c>
      <c r="B74" s="28" t="str">
        <f t="shared" si="0"/>
        <v>Edward</v>
      </c>
      <c r="C74" s="27" t="s">
        <v>198</v>
      </c>
      <c r="D74" s="27" t="s">
        <v>738</v>
      </c>
      <c r="E74" s="28" t="str">
        <f t="shared" si="1"/>
        <v>Kelley</v>
      </c>
      <c r="F74" s="28" t="str">
        <f t="shared" si="2"/>
        <v>Edward Kelley</v>
      </c>
      <c r="G74" s="27" t="s">
        <v>210</v>
      </c>
      <c r="H74" s="27" t="str">
        <f t="shared" si="3"/>
        <v>Male</v>
      </c>
      <c r="I74" s="27" t="s">
        <v>739</v>
      </c>
      <c r="J74" s="27" t="s">
        <v>740</v>
      </c>
      <c r="K74" s="27" t="s">
        <v>345</v>
      </c>
      <c r="L74" s="27">
        <v>37929</v>
      </c>
      <c r="M74" s="28" t="str">
        <f t="shared" si="4"/>
        <v>4711 Wiseman Street, Knoxville, TN, 37929</v>
      </c>
      <c r="N74" s="27" t="s">
        <v>741</v>
      </c>
      <c r="O74" s="27" t="s">
        <v>742</v>
      </c>
      <c r="P74" s="28">
        <v>865</v>
      </c>
      <c r="Q74" s="28">
        <v>377</v>
      </c>
      <c r="R74" s="28">
        <v>614</v>
      </c>
      <c r="S74" s="29" t="s">
        <v>743</v>
      </c>
      <c r="T74" s="28">
        <v>865</v>
      </c>
    </row>
    <row r="75" spans="1:20" ht="14.25" customHeight="1">
      <c r="A75" s="27" t="s">
        <v>744</v>
      </c>
      <c r="B75" s="28" t="str">
        <f t="shared" si="0"/>
        <v>Mei</v>
      </c>
      <c r="C75" s="27" t="s">
        <v>300</v>
      </c>
      <c r="D75" s="27" t="s">
        <v>745</v>
      </c>
      <c r="E75" s="28" t="str">
        <f t="shared" si="1"/>
        <v>Lopez</v>
      </c>
      <c r="F75" s="28" t="str">
        <f t="shared" si="2"/>
        <v>Mei Lopez</v>
      </c>
      <c r="G75" s="27" t="s">
        <v>200</v>
      </c>
      <c r="H75" s="27" t="str">
        <f t="shared" si="3"/>
        <v>Female</v>
      </c>
      <c r="I75" s="27" t="s">
        <v>746</v>
      </c>
      <c r="J75" s="27" t="s">
        <v>747</v>
      </c>
      <c r="K75" s="27" t="s">
        <v>706</v>
      </c>
      <c r="L75" s="27">
        <v>15205</v>
      </c>
      <c r="M75" s="28" t="str">
        <f t="shared" si="4"/>
        <v>2992 Frank Avenue, Pittsburgh, PA, 15205</v>
      </c>
      <c r="N75" s="27" t="s">
        <v>748</v>
      </c>
      <c r="O75" s="27" t="s">
        <v>749</v>
      </c>
      <c r="P75" s="28">
        <v>412</v>
      </c>
      <c r="Q75" s="28">
        <v>978</v>
      </c>
      <c r="R75" s="28">
        <v>6619</v>
      </c>
      <c r="S75" s="29" t="s">
        <v>750</v>
      </c>
      <c r="T75" s="28">
        <v>120</v>
      </c>
    </row>
    <row r="76" spans="1:20" ht="14.25" customHeight="1">
      <c r="A76" s="27" t="s">
        <v>751</v>
      </c>
      <c r="B76" s="28" t="str">
        <f t="shared" si="0"/>
        <v>Katherine</v>
      </c>
      <c r="C76" s="27" t="s">
        <v>350</v>
      </c>
      <c r="D76" s="27" t="s">
        <v>752</v>
      </c>
      <c r="E76" s="28" t="str">
        <f t="shared" si="1"/>
        <v>Kennedy</v>
      </c>
      <c r="F76" s="28" t="str">
        <f t="shared" si="2"/>
        <v>Katherine Kennedy</v>
      </c>
      <c r="G76" s="27" t="s">
        <v>200</v>
      </c>
      <c r="H76" s="27" t="str">
        <f t="shared" si="3"/>
        <v>Female</v>
      </c>
      <c r="I76" s="27" t="s">
        <v>753</v>
      </c>
      <c r="J76" s="27" t="s">
        <v>468</v>
      </c>
      <c r="K76" s="27" t="s">
        <v>469</v>
      </c>
      <c r="L76" s="27">
        <v>43215</v>
      </c>
      <c r="M76" s="28" t="str">
        <f t="shared" si="4"/>
        <v>89 Bates Brothers Road, Columbus, OH, 43215</v>
      </c>
      <c r="N76" s="27" t="s">
        <v>754</v>
      </c>
      <c r="O76" s="27" t="s">
        <v>755</v>
      </c>
      <c r="P76" s="28">
        <v>614</v>
      </c>
      <c r="Q76" s="28">
        <v>245</v>
      </c>
      <c r="R76" s="28">
        <v>377</v>
      </c>
      <c r="S76" s="29" t="s">
        <v>756</v>
      </c>
      <c r="T76" s="28">
        <v>367</v>
      </c>
    </row>
    <row r="77" spans="1:20" ht="14.25" customHeight="1">
      <c r="A77" s="27" t="s">
        <v>526</v>
      </c>
      <c r="B77" s="28" t="str">
        <f t="shared" si="0"/>
        <v>Jennifer</v>
      </c>
      <c r="C77" s="27" t="s">
        <v>511</v>
      </c>
      <c r="D77" s="27" t="s">
        <v>757</v>
      </c>
      <c r="E77" s="28" t="str">
        <f t="shared" si="1"/>
        <v>Trevino</v>
      </c>
      <c r="F77" s="28" t="str">
        <f t="shared" si="2"/>
        <v>Jennifer Trevino</v>
      </c>
      <c r="G77" s="27" t="s">
        <v>200</v>
      </c>
      <c r="H77" s="27" t="str">
        <f t="shared" si="3"/>
        <v>Female</v>
      </c>
      <c r="I77" s="27" t="s">
        <v>758</v>
      </c>
      <c r="J77" s="27" t="s">
        <v>759</v>
      </c>
      <c r="K77" s="27" t="s">
        <v>213</v>
      </c>
      <c r="L77" s="27">
        <v>95667</v>
      </c>
      <c r="M77" s="28" t="str">
        <f t="shared" si="4"/>
        <v>1950 Eagles Nest Drive, Placerville, CA, 95667</v>
      </c>
      <c r="N77" s="27" t="s">
        <v>760</v>
      </c>
      <c r="O77" s="27" t="s">
        <v>761</v>
      </c>
      <c r="P77" s="28">
        <v>530</v>
      </c>
      <c r="Q77" s="28">
        <v>621</v>
      </c>
      <c r="R77" s="28">
        <v>7352</v>
      </c>
      <c r="S77" s="29" t="s">
        <v>762</v>
      </c>
      <c r="T77" s="28">
        <v>7087</v>
      </c>
    </row>
    <row r="78" spans="1:20" ht="14.25" customHeight="1">
      <c r="A78" s="27" t="s">
        <v>357</v>
      </c>
      <c r="B78" s="28" t="str">
        <f t="shared" si="0"/>
        <v>James</v>
      </c>
      <c r="C78" s="27" t="s">
        <v>226</v>
      </c>
      <c r="D78" s="27" t="s">
        <v>763</v>
      </c>
      <c r="E78" s="28" t="str">
        <f t="shared" si="1"/>
        <v>Moore</v>
      </c>
      <c r="F78" s="28" t="str">
        <f t="shared" si="2"/>
        <v>James Moore</v>
      </c>
      <c r="G78" s="27" t="s">
        <v>210</v>
      </c>
      <c r="H78" s="27" t="str">
        <f t="shared" si="3"/>
        <v>Male</v>
      </c>
      <c r="I78" s="27" t="s">
        <v>764</v>
      </c>
      <c r="J78" s="27" t="s">
        <v>765</v>
      </c>
      <c r="K78" s="27" t="s">
        <v>221</v>
      </c>
      <c r="L78" s="27">
        <v>8901</v>
      </c>
      <c r="M78" s="28" t="str">
        <f t="shared" si="4"/>
        <v>3751 Webster Street, New Brunswick, NJ, 8901</v>
      </c>
      <c r="N78" s="27" t="s">
        <v>766</v>
      </c>
      <c r="O78" s="27" t="s">
        <v>767</v>
      </c>
      <c r="P78" s="28">
        <v>732</v>
      </c>
      <c r="Q78" s="28">
        <v>628</v>
      </c>
      <c r="R78" s="28">
        <v>4048</v>
      </c>
      <c r="S78" s="29" t="s">
        <v>768</v>
      </c>
      <c r="T78" s="28">
        <v>8126</v>
      </c>
    </row>
    <row r="79" spans="1:20" ht="14.25" customHeight="1">
      <c r="A79" s="27" t="s">
        <v>389</v>
      </c>
      <c r="B79" s="28" t="str">
        <f t="shared" si="0"/>
        <v>Daniel</v>
      </c>
      <c r="C79" s="27" t="s">
        <v>226</v>
      </c>
      <c r="D79" s="27" t="s">
        <v>769</v>
      </c>
      <c r="E79" s="28" t="str">
        <f t="shared" si="1"/>
        <v>Weatherly</v>
      </c>
      <c r="F79" s="28" t="str">
        <f t="shared" si="2"/>
        <v>Daniel Weatherly</v>
      </c>
      <c r="G79" s="27" t="s">
        <v>210</v>
      </c>
      <c r="H79" s="27" t="str">
        <f t="shared" si="3"/>
        <v>Male</v>
      </c>
      <c r="I79" s="27" t="s">
        <v>770</v>
      </c>
      <c r="J79" s="27" t="s">
        <v>771</v>
      </c>
      <c r="K79" s="27" t="s">
        <v>772</v>
      </c>
      <c r="L79" s="27">
        <v>41039</v>
      </c>
      <c r="M79" s="28" t="str">
        <f t="shared" si="4"/>
        <v>4034 May Street, Ewing, KY, 41039</v>
      </c>
      <c r="N79" s="27" t="s">
        <v>773</v>
      </c>
      <c r="O79" s="27" t="s">
        <v>774</v>
      </c>
      <c r="P79" s="28">
        <v>606</v>
      </c>
      <c r="Q79" s="28">
        <v>267</v>
      </c>
      <c r="R79" s="28">
        <v>391</v>
      </c>
      <c r="S79" s="29" t="s">
        <v>775</v>
      </c>
      <c r="T79" s="28">
        <v>591</v>
      </c>
    </row>
    <row r="80" spans="1:20" ht="14.25" customHeight="1">
      <c r="A80" s="27" t="s">
        <v>776</v>
      </c>
      <c r="B80" s="28" t="str">
        <f t="shared" si="0"/>
        <v>Christine</v>
      </c>
      <c r="C80" s="27" t="s">
        <v>429</v>
      </c>
      <c r="D80" s="27" t="s">
        <v>777</v>
      </c>
      <c r="E80" s="28" t="str">
        <f t="shared" si="1"/>
        <v>Staff</v>
      </c>
      <c r="F80" s="28" t="str">
        <f t="shared" si="2"/>
        <v>Christine Staff</v>
      </c>
      <c r="G80" s="27" t="s">
        <v>200</v>
      </c>
      <c r="H80" s="27" t="str">
        <f t="shared" si="3"/>
        <v>Female</v>
      </c>
      <c r="I80" s="27" t="s">
        <v>778</v>
      </c>
      <c r="J80" s="27" t="s">
        <v>779</v>
      </c>
      <c r="K80" s="27" t="s">
        <v>424</v>
      </c>
      <c r="L80" s="27">
        <v>28405</v>
      </c>
      <c r="M80" s="28" t="str">
        <f t="shared" si="4"/>
        <v>2560 Happy Hollow Road, Wilmington, NC, 28405</v>
      </c>
      <c r="N80" s="27" t="s">
        <v>780</v>
      </c>
      <c r="O80" s="27" t="s">
        <v>781</v>
      </c>
      <c r="P80" s="28">
        <v>910</v>
      </c>
      <c r="Q80" s="28">
        <v>617</v>
      </c>
      <c r="R80" s="28">
        <v>285</v>
      </c>
      <c r="S80" s="29" t="s">
        <v>782</v>
      </c>
      <c r="T80" s="28">
        <v>5678</v>
      </c>
    </row>
    <row r="81" spans="1:20" ht="14.25" customHeight="1">
      <c r="A81" s="27" t="s">
        <v>783</v>
      </c>
      <c r="B81" s="28" t="str">
        <f t="shared" si="0"/>
        <v>Mary</v>
      </c>
      <c r="C81" s="27" t="s">
        <v>208</v>
      </c>
      <c r="D81" s="27" t="s">
        <v>784</v>
      </c>
      <c r="E81" s="28" t="str">
        <f t="shared" si="1"/>
        <v>Castle</v>
      </c>
      <c r="F81" s="28" t="str">
        <f t="shared" si="2"/>
        <v>Mary Castle</v>
      </c>
      <c r="G81" s="27" t="s">
        <v>200</v>
      </c>
      <c r="H81" s="27" t="str">
        <f t="shared" si="3"/>
        <v>Female</v>
      </c>
      <c r="I81" s="27" t="s">
        <v>785</v>
      </c>
      <c r="J81" s="27" t="s">
        <v>786</v>
      </c>
      <c r="K81" s="27" t="s">
        <v>368</v>
      </c>
      <c r="L81" s="27">
        <v>33166</v>
      </c>
      <c r="M81" s="28" t="str">
        <f t="shared" si="4"/>
        <v>4337 Arbutus Drive, Miami Springs, FL, 33166</v>
      </c>
      <c r="N81" s="27" t="s">
        <v>787</v>
      </c>
      <c r="O81" s="27" t="s">
        <v>788</v>
      </c>
      <c r="P81" s="28">
        <v>305</v>
      </c>
      <c r="Q81" s="28">
        <v>886</v>
      </c>
      <c r="R81" s="28">
        <v>6290</v>
      </c>
      <c r="S81" s="29" t="s">
        <v>789</v>
      </c>
      <c r="T81" s="28">
        <v>6026</v>
      </c>
    </row>
    <row r="82" spans="1:20" ht="14.25" customHeight="1">
      <c r="A82" s="27" t="s">
        <v>790</v>
      </c>
      <c r="B82" s="28" t="str">
        <f t="shared" si="0"/>
        <v>Antonio</v>
      </c>
      <c r="C82" s="27" t="s">
        <v>252</v>
      </c>
      <c r="D82" s="27" t="s">
        <v>791</v>
      </c>
      <c r="E82" s="28" t="str">
        <f t="shared" si="1"/>
        <v>Eder</v>
      </c>
      <c r="F82" s="28" t="str">
        <f t="shared" si="2"/>
        <v>Antonio Eder</v>
      </c>
      <c r="G82" s="27" t="s">
        <v>210</v>
      </c>
      <c r="H82" s="27" t="str">
        <f t="shared" si="3"/>
        <v>Male</v>
      </c>
      <c r="I82" s="27" t="s">
        <v>792</v>
      </c>
      <c r="J82" s="27" t="s">
        <v>793</v>
      </c>
      <c r="K82" s="27" t="s">
        <v>203</v>
      </c>
      <c r="L82" s="27">
        <v>62094</v>
      </c>
      <c r="M82" s="28" t="str">
        <f t="shared" si="4"/>
        <v>4113 University Hill Road, Witt, IL, 62094</v>
      </c>
      <c r="N82" s="27" t="s">
        <v>794</v>
      </c>
      <c r="O82" s="27" t="s">
        <v>795</v>
      </c>
      <c r="P82" s="28">
        <v>217</v>
      </c>
      <c r="Q82" s="28">
        <v>594</v>
      </c>
      <c r="R82" s="28">
        <v>5606</v>
      </c>
      <c r="S82" s="29" t="s">
        <v>796</v>
      </c>
      <c r="T82" s="28">
        <v>9044</v>
      </c>
    </row>
    <row r="83" spans="1:20" ht="14.25" customHeight="1">
      <c r="A83" s="27" t="s">
        <v>419</v>
      </c>
      <c r="B83" s="28" t="str">
        <f t="shared" si="0"/>
        <v>Robert</v>
      </c>
      <c r="C83" s="27" t="s">
        <v>350</v>
      </c>
      <c r="D83" s="27" t="s">
        <v>797</v>
      </c>
      <c r="E83" s="28" t="str">
        <f t="shared" si="1"/>
        <v>Eldredge</v>
      </c>
      <c r="F83" s="28" t="str">
        <f t="shared" si="2"/>
        <v>Robert Eldredge</v>
      </c>
      <c r="G83" s="27" t="s">
        <v>210</v>
      </c>
      <c r="H83" s="27" t="str">
        <f t="shared" si="3"/>
        <v>Male</v>
      </c>
      <c r="I83" s="27" t="s">
        <v>798</v>
      </c>
      <c r="J83" s="27" t="s">
        <v>799</v>
      </c>
      <c r="K83" s="27" t="s">
        <v>515</v>
      </c>
      <c r="L83" s="27">
        <v>65207</v>
      </c>
      <c r="M83" s="28" t="str">
        <f t="shared" si="4"/>
        <v>2384 Penn Street, Columbia, MO, 65207</v>
      </c>
      <c r="N83" s="27" t="s">
        <v>800</v>
      </c>
      <c r="O83" s="27" t="s">
        <v>801</v>
      </c>
      <c r="P83" s="28">
        <v>573</v>
      </c>
      <c r="Q83" s="28">
        <v>304</v>
      </c>
      <c r="R83" s="28">
        <v>9439</v>
      </c>
      <c r="S83" s="29" t="s">
        <v>802</v>
      </c>
      <c r="T83" s="28">
        <v>649</v>
      </c>
    </row>
    <row r="84" spans="1:20" ht="14.25" customHeight="1">
      <c r="A84" s="27" t="s">
        <v>646</v>
      </c>
      <c r="B84" s="28" t="str">
        <f t="shared" si="0"/>
        <v>Terry</v>
      </c>
      <c r="C84" s="27" t="s">
        <v>381</v>
      </c>
      <c r="D84" s="27" t="s">
        <v>803</v>
      </c>
      <c r="E84" s="28" t="str">
        <f t="shared" si="1"/>
        <v>Abernathy</v>
      </c>
      <c r="F84" s="28" t="str">
        <f t="shared" si="2"/>
        <v>Terry Abernathy</v>
      </c>
      <c r="G84" s="27" t="s">
        <v>210</v>
      </c>
      <c r="H84" s="27" t="str">
        <f t="shared" si="3"/>
        <v>Male</v>
      </c>
      <c r="I84" s="27" t="s">
        <v>804</v>
      </c>
      <c r="J84" s="27" t="s">
        <v>805</v>
      </c>
      <c r="K84" s="27" t="s">
        <v>329</v>
      </c>
      <c r="L84" s="27">
        <v>48637</v>
      </c>
      <c r="M84" s="28" t="str">
        <f t="shared" si="4"/>
        <v>2731 Mount Street, Merrill, MI, 48637</v>
      </c>
      <c r="N84" s="27" t="s">
        <v>806</v>
      </c>
      <c r="O84" s="27" t="s">
        <v>807</v>
      </c>
      <c r="P84" s="28">
        <v>989</v>
      </c>
      <c r="Q84" s="28">
        <v>643</v>
      </c>
      <c r="R84" s="28">
        <v>6862</v>
      </c>
      <c r="S84" s="29" t="s">
        <v>808</v>
      </c>
      <c r="T84" s="28">
        <v>6263</v>
      </c>
    </row>
    <row r="85" spans="1:20" ht="14.25" customHeight="1">
      <c r="A85" s="27" t="s">
        <v>783</v>
      </c>
      <c r="B85" s="28" t="str">
        <f t="shared" si="0"/>
        <v>Mary</v>
      </c>
      <c r="C85" s="27" t="s">
        <v>511</v>
      </c>
      <c r="D85" s="27" t="s">
        <v>809</v>
      </c>
      <c r="E85" s="28" t="str">
        <f t="shared" si="1"/>
        <v>Oliver</v>
      </c>
      <c r="F85" s="28" t="str">
        <f t="shared" si="2"/>
        <v>Mary Oliver</v>
      </c>
      <c r="G85" s="27" t="s">
        <v>200</v>
      </c>
      <c r="H85" s="27" t="str">
        <f t="shared" si="3"/>
        <v>Female</v>
      </c>
      <c r="I85" s="27" t="s">
        <v>810</v>
      </c>
      <c r="J85" s="27" t="s">
        <v>811</v>
      </c>
      <c r="K85" s="27" t="s">
        <v>264</v>
      </c>
      <c r="L85" s="27">
        <v>35222</v>
      </c>
      <c r="M85" s="28" t="str">
        <f t="shared" si="4"/>
        <v>345 Turnpike Drive, Birmingham, AL, 35222</v>
      </c>
      <c r="N85" s="27" t="s">
        <v>812</v>
      </c>
      <c r="O85" s="27" t="s">
        <v>813</v>
      </c>
      <c r="P85" s="28">
        <v>256</v>
      </c>
      <c r="Q85" s="28">
        <v>375</v>
      </c>
      <c r="R85" s="28">
        <v>9210</v>
      </c>
      <c r="S85" s="29" t="s">
        <v>814</v>
      </c>
      <c r="T85" s="28">
        <v>3721</v>
      </c>
    </row>
    <row r="86" spans="1:20" ht="14.25" customHeight="1">
      <c r="A86" s="27" t="s">
        <v>815</v>
      </c>
      <c r="B86" s="28" t="str">
        <f t="shared" si="0"/>
        <v>Sylvia</v>
      </c>
      <c r="C86" s="27" t="s">
        <v>317</v>
      </c>
      <c r="D86" s="27" t="s">
        <v>816</v>
      </c>
      <c r="E86" s="28" t="str">
        <f t="shared" si="1"/>
        <v>Provencher</v>
      </c>
      <c r="F86" s="28" t="str">
        <f t="shared" si="2"/>
        <v>Sylvia Provencher</v>
      </c>
      <c r="G86" s="27" t="s">
        <v>200</v>
      </c>
      <c r="H86" s="27" t="str">
        <f t="shared" si="3"/>
        <v>Female</v>
      </c>
      <c r="I86" s="27" t="s">
        <v>817</v>
      </c>
      <c r="J86" s="27" t="s">
        <v>818</v>
      </c>
      <c r="K86" s="27" t="s">
        <v>272</v>
      </c>
      <c r="L86" s="27">
        <v>12842</v>
      </c>
      <c r="M86" s="28" t="str">
        <f t="shared" si="4"/>
        <v>2563 Oak Drive, Indian Lake, NY, 12842</v>
      </c>
      <c r="N86" s="27" t="s">
        <v>819</v>
      </c>
      <c r="O86" s="27" t="s">
        <v>820</v>
      </c>
      <c r="P86" s="28">
        <v>518</v>
      </c>
      <c r="Q86" s="28">
        <v>648</v>
      </c>
      <c r="R86" s="28">
        <v>2133</v>
      </c>
      <c r="S86" s="29" t="s">
        <v>821</v>
      </c>
      <c r="T86" s="28">
        <v>743</v>
      </c>
    </row>
    <row r="87" spans="1:20" ht="14.25" customHeight="1">
      <c r="A87" s="27" t="s">
        <v>822</v>
      </c>
      <c r="B87" s="28" t="str">
        <f t="shared" si="0"/>
        <v>Michael</v>
      </c>
      <c r="C87" s="27" t="s">
        <v>198</v>
      </c>
      <c r="D87" s="27" t="s">
        <v>823</v>
      </c>
      <c r="E87" s="28" t="str">
        <f t="shared" si="1"/>
        <v>Butters</v>
      </c>
      <c r="F87" s="28" t="str">
        <f t="shared" si="2"/>
        <v>Michael Butters</v>
      </c>
      <c r="G87" s="27" t="s">
        <v>210</v>
      </c>
      <c r="H87" s="27" t="str">
        <f t="shared" si="3"/>
        <v>Male</v>
      </c>
      <c r="I87" s="27" t="s">
        <v>824</v>
      </c>
      <c r="J87" s="27" t="s">
        <v>825</v>
      </c>
      <c r="K87" s="27" t="s">
        <v>469</v>
      </c>
      <c r="L87" s="27">
        <v>44115</v>
      </c>
      <c r="M87" s="28" t="str">
        <f t="shared" si="4"/>
        <v>1700 Glenwood Avenue, Cleveland, OH, 44115</v>
      </c>
      <c r="N87" s="27" t="s">
        <v>826</v>
      </c>
      <c r="O87" s="27" t="s">
        <v>827</v>
      </c>
      <c r="P87" s="28">
        <v>216</v>
      </c>
      <c r="Q87" s="28">
        <v>357</v>
      </c>
      <c r="R87" s="28">
        <v>590</v>
      </c>
      <c r="S87" s="29" t="s">
        <v>828</v>
      </c>
      <c r="T87" s="28">
        <v>6212</v>
      </c>
    </row>
    <row r="88" spans="1:20" ht="14.25" customHeight="1">
      <c r="A88" s="27" t="s">
        <v>829</v>
      </c>
      <c r="B88" s="28" t="str">
        <f t="shared" si="0"/>
        <v>Eduardo</v>
      </c>
      <c r="C88" s="27" t="s">
        <v>226</v>
      </c>
      <c r="D88" s="27" t="s">
        <v>830</v>
      </c>
      <c r="E88" s="28" t="str">
        <f t="shared" si="1"/>
        <v>Harris</v>
      </c>
      <c r="F88" s="28" t="str">
        <f t="shared" si="2"/>
        <v>Eduardo Harris</v>
      </c>
      <c r="G88" s="27" t="s">
        <v>210</v>
      </c>
      <c r="H88" s="27" t="str">
        <f t="shared" si="3"/>
        <v>Male</v>
      </c>
      <c r="I88" s="27" t="s">
        <v>831</v>
      </c>
      <c r="J88" s="27" t="s">
        <v>832</v>
      </c>
      <c r="K88" s="27" t="s">
        <v>581</v>
      </c>
      <c r="L88" s="27">
        <v>21202</v>
      </c>
      <c r="M88" s="28" t="str">
        <f t="shared" si="4"/>
        <v>880 Columbia Boulevard, Baltimore, MD, 21202</v>
      </c>
      <c r="N88" s="27" t="s">
        <v>833</v>
      </c>
      <c r="O88" s="27" t="s">
        <v>834</v>
      </c>
      <c r="P88" s="28">
        <v>410</v>
      </c>
      <c r="Q88" s="28">
        <v>403</v>
      </c>
      <c r="R88" s="28">
        <v>8606</v>
      </c>
      <c r="S88" s="29" t="s">
        <v>835</v>
      </c>
      <c r="T88" s="28">
        <v>9829</v>
      </c>
    </row>
    <row r="89" spans="1:20" ht="14.25" customHeight="1">
      <c r="A89" s="27" t="s">
        <v>836</v>
      </c>
      <c r="B89" s="28" t="str">
        <f t="shared" si="0"/>
        <v>Janet</v>
      </c>
      <c r="C89" s="27" t="s">
        <v>334</v>
      </c>
      <c r="D89" s="27" t="s">
        <v>837</v>
      </c>
      <c r="E89" s="28" t="str">
        <f t="shared" si="1"/>
        <v>Godfrey</v>
      </c>
      <c r="F89" s="28" t="str">
        <f t="shared" si="2"/>
        <v>Janet Godfrey</v>
      </c>
      <c r="G89" s="27" t="s">
        <v>200</v>
      </c>
      <c r="H89" s="27" t="str">
        <f t="shared" si="3"/>
        <v>Female</v>
      </c>
      <c r="I89" s="27" t="s">
        <v>838</v>
      </c>
      <c r="J89" s="27" t="s">
        <v>839</v>
      </c>
      <c r="K89" s="27" t="s">
        <v>424</v>
      </c>
      <c r="L89" s="27">
        <v>27601</v>
      </c>
      <c r="M89" s="28" t="str">
        <f t="shared" si="4"/>
        <v>4249 Johnson Street, Raleigh, NC, 27601</v>
      </c>
      <c r="N89" s="27" t="s">
        <v>840</v>
      </c>
      <c r="O89" s="27" t="s">
        <v>841</v>
      </c>
      <c r="P89" s="28">
        <v>919</v>
      </c>
      <c r="Q89" s="28">
        <v>860</v>
      </c>
      <c r="R89" s="28">
        <v>7881</v>
      </c>
      <c r="S89" s="29" t="s">
        <v>842</v>
      </c>
      <c r="T89" s="28">
        <v>9086</v>
      </c>
    </row>
    <row r="90" spans="1:20" ht="14.25" customHeight="1">
      <c r="A90" s="27" t="s">
        <v>843</v>
      </c>
      <c r="B90" s="28" t="str">
        <f t="shared" si="0"/>
        <v>Thelma</v>
      </c>
      <c r="C90" s="27" t="s">
        <v>300</v>
      </c>
      <c r="D90" s="27" t="s">
        <v>844</v>
      </c>
      <c r="E90" s="28" t="str">
        <f t="shared" si="1"/>
        <v>Mccarthy</v>
      </c>
      <c r="F90" s="28" t="str">
        <f t="shared" si="2"/>
        <v>Thelma Mccarthy</v>
      </c>
      <c r="G90" s="27" t="s">
        <v>200</v>
      </c>
      <c r="H90" s="27" t="str">
        <f t="shared" si="3"/>
        <v>Female</v>
      </c>
      <c r="I90" s="27" t="s">
        <v>845</v>
      </c>
      <c r="J90" s="27" t="s">
        <v>846</v>
      </c>
      <c r="K90" s="27" t="s">
        <v>433</v>
      </c>
      <c r="L90" s="27">
        <v>1801</v>
      </c>
      <c r="M90" s="28" t="str">
        <f t="shared" si="4"/>
        <v>1722 Romano Street, Woburn, MA, 1801</v>
      </c>
      <c r="N90" s="27" t="s">
        <v>847</v>
      </c>
      <c r="O90" s="27" t="s">
        <v>848</v>
      </c>
      <c r="P90" s="28">
        <v>781</v>
      </c>
      <c r="Q90" s="28">
        <v>405</v>
      </c>
      <c r="R90" s="28">
        <v>924</v>
      </c>
      <c r="S90" s="29" t="s">
        <v>849</v>
      </c>
      <c r="T90" s="28">
        <v>414</v>
      </c>
    </row>
    <row r="91" spans="1:20" ht="14.25" customHeight="1">
      <c r="A91" s="27" t="s">
        <v>850</v>
      </c>
      <c r="B91" s="28" t="str">
        <f t="shared" si="0"/>
        <v>Fran</v>
      </c>
      <c r="C91" s="27" t="s">
        <v>226</v>
      </c>
      <c r="D91" s="27" t="s">
        <v>851</v>
      </c>
      <c r="E91" s="28" t="str">
        <f t="shared" si="1"/>
        <v>Ritchie</v>
      </c>
      <c r="F91" s="28" t="str">
        <f t="shared" si="2"/>
        <v>Fran Ritchie</v>
      </c>
      <c r="G91" s="27" t="s">
        <v>200</v>
      </c>
      <c r="H91" s="27" t="str">
        <f t="shared" si="3"/>
        <v>Female</v>
      </c>
      <c r="I91" s="27" t="s">
        <v>852</v>
      </c>
      <c r="J91" s="27" t="s">
        <v>853</v>
      </c>
      <c r="K91" s="27" t="s">
        <v>272</v>
      </c>
      <c r="L91" s="27">
        <v>12547</v>
      </c>
      <c r="M91" s="28" t="str">
        <f t="shared" si="4"/>
        <v>4518 Old Dear Lane, Milton, NY, 12547</v>
      </c>
      <c r="N91" s="27" t="s">
        <v>854</v>
      </c>
      <c r="O91" s="27" t="s">
        <v>855</v>
      </c>
      <c r="P91" s="28">
        <v>845</v>
      </c>
      <c r="Q91" s="28">
        <v>795</v>
      </c>
      <c r="R91" s="28">
        <v>1923</v>
      </c>
      <c r="S91" s="29" t="s">
        <v>856</v>
      </c>
      <c r="T91" s="28">
        <v>94</v>
      </c>
    </row>
    <row r="92" spans="1:20" ht="14.25" customHeight="1">
      <c r="A92" s="27" t="s">
        <v>404</v>
      </c>
      <c r="B92" s="28" t="str">
        <f t="shared" si="0"/>
        <v>Lisa</v>
      </c>
      <c r="C92" s="27" t="s">
        <v>235</v>
      </c>
      <c r="D92" s="27" t="s">
        <v>857</v>
      </c>
      <c r="E92" s="28" t="str">
        <f t="shared" si="1"/>
        <v>Thompson</v>
      </c>
      <c r="F92" s="28" t="str">
        <f t="shared" si="2"/>
        <v>Lisa Thompson</v>
      </c>
      <c r="G92" s="27" t="s">
        <v>200</v>
      </c>
      <c r="H92" s="27" t="str">
        <f t="shared" si="3"/>
        <v>Female</v>
      </c>
      <c r="I92" s="27" t="s">
        <v>858</v>
      </c>
      <c r="J92" s="27" t="s">
        <v>859</v>
      </c>
      <c r="K92" s="27" t="s">
        <v>650</v>
      </c>
      <c r="L92" s="27">
        <v>74401</v>
      </c>
      <c r="M92" s="28" t="str">
        <f t="shared" si="4"/>
        <v>210 Heather Sees Way, Muskogee, OK, 74401</v>
      </c>
      <c r="N92" s="27" t="s">
        <v>860</v>
      </c>
      <c r="O92" s="27" t="s">
        <v>861</v>
      </c>
      <c r="P92" s="28">
        <v>918</v>
      </c>
      <c r="Q92" s="28">
        <v>684</v>
      </c>
      <c r="R92" s="28">
        <v>5481</v>
      </c>
      <c r="S92" s="29" t="s">
        <v>862</v>
      </c>
      <c r="T92" s="28">
        <v>289</v>
      </c>
    </row>
    <row r="93" spans="1:20" ht="14.25" customHeight="1">
      <c r="A93" s="27" t="s">
        <v>510</v>
      </c>
      <c r="B93" s="28" t="str">
        <f t="shared" si="0"/>
        <v>George</v>
      </c>
      <c r="C93" s="27" t="s">
        <v>511</v>
      </c>
      <c r="D93" s="27" t="s">
        <v>863</v>
      </c>
      <c r="E93" s="28" t="str">
        <f t="shared" si="1"/>
        <v>Greggs</v>
      </c>
      <c r="F93" s="28" t="str">
        <f t="shared" si="2"/>
        <v>George Greggs</v>
      </c>
      <c r="G93" s="27" t="s">
        <v>210</v>
      </c>
      <c r="H93" s="27" t="str">
        <f t="shared" si="3"/>
        <v>Male</v>
      </c>
      <c r="I93" s="27" t="s">
        <v>864</v>
      </c>
      <c r="J93" s="27" t="s">
        <v>865</v>
      </c>
      <c r="K93" s="27" t="s">
        <v>581</v>
      </c>
      <c r="L93" s="27">
        <v>20781</v>
      </c>
      <c r="M93" s="28" t="str">
        <f t="shared" si="4"/>
        <v>2906 Cost Avenue, Hyattsville, MD, 20781</v>
      </c>
      <c r="N93" s="27" t="s">
        <v>866</v>
      </c>
      <c r="O93" s="27" t="s">
        <v>867</v>
      </c>
      <c r="P93" s="28">
        <v>301</v>
      </c>
      <c r="Q93" s="28">
        <v>403</v>
      </c>
      <c r="R93" s="28">
        <v>7868</v>
      </c>
      <c r="S93" s="29" t="s">
        <v>868</v>
      </c>
      <c r="T93" s="28">
        <v>3869</v>
      </c>
    </row>
    <row r="94" spans="1:20" ht="14.25" customHeight="1">
      <c r="A94" s="27" t="s">
        <v>869</v>
      </c>
      <c r="B94" s="28" t="str">
        <f t="shared" si="0"/>
        <v>Dora</v>
      </c>
      <c r="C94" s="27" t="s">
        <v>208</v>
      </c>
      <c r="D94" s="27" t="s">
        <v>870</v>
      </c>
      <c r="E94" s="28" t="str">
        <f t="shared" si="1"/>
        <v>Burris</v>
      </c>
      <c r="F94" s="28" t="str">
        <f t="shared" si="2"/>
        <v>Dora Burris</v>
      </c>
      <c r="G94" s="27" t="s">
        <v>200</v>
      </c>
      <c r="H94" s="27" t="str">
        <f t="shared" si="3"/>
        <v>Female</v>
      </c>
      <c r="I94" s="27" t="s">
        <v>871</v>
      </c>
      <c r="J94" s="27" t="s">
        <v>400</v>
      </c>
      <c r="K94" s="27" t="s">
        <v>213</v>
      </c>
      <c r="L94" s="27">
        <v>90017</v>
      </c>
      <c r="M94" s="28" t="str">
        <f t="shared" si="4"/>
        <v>4692 Clarence Court, Los Angeles, CA, 90017</v>
      </c>
      <c r="N94" s="27" t="s">
        <v>872</v>
      </c>
      <c r="O94" s="27" t="s">
        <v>873</v>
      </c>
      <c r="P94" s="28">
        <v>909</v>
      </c>
      <c r="Q94" s="28">
        <v>960</v>
      </c>
      <c r="R94" s="28">
        <v>4178</v>
      </c>
      <c r="S94" s="29" t="s">
        <v>874</v>
      </c>
      <c r="T94" s="28">
        <v>9420</v>
      </c>
    </row>
    <row r="95" spans="1:20" ht="14.25" customHeight="1">
      <c r="A95" s="27" t="s">
        <v>875</v>
      </c>
      <c r="B95" s="28" t="str">
        <f t="shared" si="0"/>
        <v>Wanda</v>
      </c>
      <c r="C95" s="27" t="s">
        <v>235</v>
      </c>
      <c r="D95" s="27" t="s">
        <v>876</v>
      </c>
      <c r="E95" s="28" t="str">
        <f t="shared" si="1"/>
        <v>Schultz</v>
      </c>
      <c r="F95" s="28" t="str">
        <f t="shared" si="2"/>
        <v>Wanda Schultz</v>
      </c>
      <c r="G95" s="27" t="s">
        <v>200</v>
      </c>
      <c r="H95" s="27" t="str">
        <f t="shared" si="3"/>
        <v>Female</v>
      </c>
      <c r="I95" s="27" t="s">
        <v>877</v>
      </c>
      <c r="J95" s="27" t="s">
        <v>878</v>
      </c>
      <c r="K95" s="27" t="s">
        <v>213</v>
      </c>
      <c r="L95" s="27">
        <v>94112</v>
      </c>
      <c r="M95" s="28" t="str">
        <f t="shared" si="4"/>
        <v>2161 Delaware Avenue, San Francisco, CA, 94112</v>
      </c>
      <c r="N95" s="27" t="s">
        <v>879</v>
      </c>
      <c r="O95" s="27" t="s">
        <v>880</v>
      </c>
      <c r="P95" s="28">
        <v>415</v>
      </c>
      <c r="Q95" s="28">
        <v>239</v>
      </c>
      <c r="R95" s="28">
        <v>2560</v>
      </c>
      <c r="S95" s="29" t="s">
        <v>881</v>
      </c>
      <c r="T95" s="28">
        <v>281</v>
      </c>
    </row>
    <row r="96" spans="1:20" ht="14.25" customHeight="1">
      <c r="A96" s="27" t="s">
        <v>882</v>
      </c>
      <c r="B96" s="28" t="str">
        <f t="shared" si="0"/>
        <v>Jason</v>
      </c>
      <c r="C96" s="27" t="s">
        <v>511</v>
      </c>
      <c r="D96" s="27" t="s">
        <v>883</v>
      </c>
      <c r="E96" s="28" t="str">
        <f t="shared" si="1"/>
        <v>Pavon</v>
      </c>
      <c r="F96" s="28" t="str">
        <f t="shared" si="2"/>
        <v>Jason Pavon</v>
      </c>
      <c r="G96" s="27" t="s">
        <v>210</v>
      </c>
      <c r="H96" s="27" t="str">
        <f t="shared" si="3"/>
        <v>Male</v>
      </c>
      <c r="I96" s="27" t="s">
        <v>884</v>
      </c>
      <c r="J96" s="27" t="s">
        <v>885</v>
      </c>
      <c r="K96" s="27" t="s">
        <v>772</v>
      </c>
      <c r="L96" s="27">
        <v>40391</v>
      </c>
      <c r="M96" s="28" t="str">
        <f t="shared" si="4"/>
        <v>4012 Zappia Drive, Winchester, KY, 40391</v>
      </c>
      <c r="N96" s="27" t="s">
        <v>886</v>
      </c>
      <c r="O96" s="27" t="s">
        <v>887</v>
      </c>
      <c r="P96" s="28">
        <v>859</v>
      </c>
      <c r="Q96" s="28">
        <v>319</v>
      </c>
      <c r="R96" s="28">
        <v>659</v>
      </c>
      <c r="S96" s="29" t="s">
        <v>888</v>
      </c>
      <c r="T96" s="28">
        <v>60</v>
      </c>
    </row>
    <row r="97" spans="1:20" ht="14.25" customHeight="1">
      <c r="A97" s="27" t="s">
        <v>889</v>
      </c>
      <c r="B97" s="28" t="str">
        <f t="shared" si="0"/>
        <v>Jannette</v>
      </c>
      <c r="C97" s="27" t="s">
        <v>198</v>
      </c>
      <c r="D97" s="27" t="s">
        <v>503</v>
      </c>
      <c r="E97" s="28" t="str">
        <f t="shared" si="1"/>
        <v>Anthony</v>
      </c>
      <c r="F97" s="28" t="str">
        <f t="shared" si="2"/>
        <v>Jannette Anthony</v>
      </c>
      <c r="G97" s="27" t="s">
        <v>200</v>
      </c>
      <c r="H97" s="27" t="str">
        <f t="shared" si="3"/>
        <v>Female</v>
      </c>
      <c r="I97" s="27" t="s">
        <v>890</v>
      </c>
      <c r="J97" s="27" t="s">
        <v>891</v>
      </c>
      <c r="K97" s="27" t="s">
        <v>213</v>
      </c>
      <c r="L97" s="27">
        <v>94704</v>
      </c>
      <c r="M97" s="28" t="str">
        <f t="shared" si="4"/>
        <v>900 Green Avenue, Berkeley, CA, 94704</v>
      </c>
      <c r="N97" s="27" t="s">
        <v>892</v>
      </c>
      <c r="O97" s="27" t="s">
        <v>893</v>
      </c>
      <c r="P97" s="28">
        <v>510</v>
      </c>
      <c r="Q97" s="28">
        <v>849</v>
      </c>
      <c r="R97" s="28">
        <v>5795</v>
      </c>
      <c r="S97" s="29" t="s">
        <v>894</v>
      </c>
      <c r="T97" s="28">
        <v>8295</v>
      </c>
    </row>
    <row r="98" spans="1:20" ht="14.25" customHeight="1">
      <c r="A98" s="27" t="s">
        <v>895</v>
      </c>
      <c r="B98" s="28" t="str">
        <f t="shared" si="0"/>
        <v>Katrina</v>
      </c>
      <c r="C98" s="27" t="s">
        <v>300</v>
      </c>
      <c r="D98" s="27" t="s">
        <v>896</v>
      </c>
      <c r="E98" s="28" t="str">
        <f t="shared" si="1"/>
        <v>Stull</v>
      </c>
      <c r="F98" s="28" t="str">
        <f t="shared" si="2"/>
        <v>Katrina Stull</v>
      </c>
      <c r="G98" s="27" t="s">
        <v>200</v>
      </c>
      <c r="H98" s="27" t="str">
        <f t="shared" si="3"/>
        <v>Female</v>
      </c>
      <c r="I98" s="27" t="s">
        <v>897</v>
      </c>
      <c r="J98" s="27" t="s">
        <v>898</v>
      </c>
      <c r="K98" s="27" t="s">
        <v>203</v>
      </c>
      <c r="L98" s="27">
        <v>62701</v>
      </c>
      <c r="M98" s="28" t="str">
        <f t="shared" si="4"/>
        <v>4489 Isaacs Creek Road, Springfield, IL, 62701</v>
      </c>
      <c r="N98" s="27" t="s">
        <v>899</v>
      </c>
      <c r="O98" s="27" t="s">
        <v>900</v>
      </c>
      <c r="P98" s="28">
        <v>217</v>
      </c>
      <c r="Q98" s="28">
        <v>470</v>
      </c>
      <c r="R98" s="28">
        <v>3255</v>
      </c>
      <c r="S98" s="29" t="s">
        <v>901</v>
      </c>
      <c r="T98" s="28">
        <v>269</v>
      </c>
    </row>
    <row r="99" spans="1:20" ht="14.25" customHeight="1">
      <c r="A99" s="27" t="s">
        <v>902</v>
      </c>
      <c r="B99" s="28" t="str">
        <f t="shared" si="0"/>
        <v>Russell</v>
      </c>
      <c r="C99" s="27" t="s">
        <v>198</v>
      </c>
      <c r="D99" s="27" t="s">
        <v>903</v>
      </c>
      <c r="E99" s="28" t="str">
        <f t="shared" si="1"/>
        <v>Lofton</v>
      </c>
      <c r="F99" s="28" t="str">
        <f t="shared" si="2"/>
        <v>Russell Lofton</v>
      </c>
      <c r="G99" s="27" t="s">
        <v>210</v>
      </c>
      <c r="H99" s="27" t="str">
        <f t="shared" si="3"/>
        <v>Male</v>
      </c>
      <c r="I99" s="27" t="s">
        <v>904</v>
      </c>
      <c r="J99" s="27" t="s">
        <v>360</v>
      </c>
      <c r="K99" s="27" t="s">
        <v>256</v>
      </c>
      <c r="L99" s="27">
        <v>77032</v>
      </c>
      <c r="M99" s="28" t="str">
        <f t="shared" si="4"/>
        <v>321 Wines Lane, Houston, TX, 77032</v>
      </c>
      <c r="N99" s="27" t="s">
        <v>905</v>
      </c>
      <c r="O99" s="27" t="s">
        <v>906</v>
      </c>
      <c r="P99" s="28">
        <v>832</v>
      </c>
      <c r="Q99" s="28">
        <v>265</v>
      </c>
      <c r="R99" s="28">
        <v>2122</v>
      </c>
      <c r="S99" s="29" t="s">
        <v>907</v>
      </c>
      <c r="T99" s="28">
        <v>7539</v>
      </c>
    </row>
    <row r="100" spans="1:20" ht="14.25" customHeight="1">
      <c r="A100" s="27" t="s">
        <v>234</v>
      </c>
      <c r="B100" s="28" t="str">
        <f t="shared" si="0"/>
        <v>John</v>
      </c>
      <c r="C100" s="27" t="s">
        <v>334</v>
      </c>
      <c r="D100" s="27" t="s">
        <v>908</v>
      </c>
      <c r="E100" s="28" t="str">
        <f t="shared" si="1"/>
        <v>May</v>
      </c>
      <c r="F100" s="28" t="str">
        <f t="shared" si="2"/>
        <v>John May</v>
      </c>
      <c r="G100" s="27" t="s">
        <v>210</v>
      </c>
      <c r="H100" s="27" t="str">
        <f t="shared" si="3"/>
        <v>Male</v>
      </c>
      <c r="I100" s="27" t="s">
        <v>909</v>
      </c>
      <c r="J100" s="27" t="s">
        <v>353</v>
      </c>
      <c r="K100" s="27" t="s">
        <v>203</v>
      </c>
      <c r="L100" s="27">
        <v>60634</v>
      </c>
      <c r="M100" s="28" t="str">
        <f t="shared" si="4"/>
        <v>361 Tator Patch Road, Chicago, IL, 60634</v>
      </c>
      <c r="N100" s="27" t="s">
        <v>910</v>
      </c>
      <c r="O100" s="27" t="s">
        <v>911</v>
      </c>
      <c r="P100" s="28">
        <v>312</v>
      </c>
      <c r="Q100" s="28">
        <v>826</v>
      </c>
      <c r="R100" s="28">
        <v>8635</v>
      </c>
      <c r="S100" s="29" t="s">
        <v>912</v>
      </c>
      <c r="T100" s="28">
        <v>6483</v>
      </c>
    </row>
    <row r="101" spans="1:20" ht="14.25" customHeight="1">
      <c r="A101" s="27" t="s">
        <v>913</v>
      </c>
      <c r="B101" s="28" t="str">
        <f t="shared" si="0"/>
        <v>Ann</v>
      </c>
      <c r="C101" s="27" t="s">
        <v>350</v>
      </c>
      <c r="D101" s="27" t="s">
        <v>914</v>
      </c>
      <c r="E101" s="28" t="str">
        <f t="shared" si="1"/>
        <v>Tilton</v>
      </c>
      <c r="F101" s="28" t="str">
        <f t="shared" si="2"/>
        <v>Ann Tilton</v>
      </c>
      <c r="G101" s="27" t="s">
        <v>200</v>
      </c>
      <c r="H101" s="27" t="str">
        <f t="shared" si="3"/>
        <v>Female</v>
      </c>
      <c r="I101" s="27" t="s">
        <v>915</v>
      </c>
      <c r="J101" s="27" t="s">
        <v>916</v>
      </c>
      <c r="K101" s="27" t="s">
        <v>917</v>
      </c>
      <c r="L101" s="27">
        <v>3455</v>
      </c>
      <c r="M101" s="28" t="str">
        <f t="shared" si="4"/>
        <v>2721 Peck Street, Marlboro, NH, 3455</v>
      </c>
      <c r="N101" s="27" t="s">
        <v>918</v>
      </c>
      <c r="O101" s="27" t="s">
        <v>919</v>
      </c>
      <c r="P101" s="28">
        <v>603</v>
      </c>
      <c r="Q101" s="28">
        <v>876</v>
      </c>
      <c r="R101" s="28">
        <v>8330</v>
      </c>
      <c r="S101" s="29" t="s">
        <v>920</v>
      </c>
      <c r="T101" s="28">
        <v>1094</v>
      </c>
    </row>
    <row r="102" spans="1:20" ht="14.25" customHeight="1">
      <c r="A102" s="27" t="s">
        <v>921</v>
      </c>
      <c r="B102" s="28" t="str">
        <f t="shared" si="0"/>
        <v>Eric</v>
      </c>
      <c r="C102" s="27" t="s">
        <v>465</v>
      </c>
      <c r="D102" s="27" t="s">
        <v>922</v>
      </c>
      <c r="E102" s="28" t="str">
        <f t="shared" si="1"/>
        <v>Young</v>
      </c>
      <c r="F102" s="28" t="str">
        <f t="shared" si="2"/>
        <v>Eric Young</v>
      </c>
      <c r="G102" s="27" t="s">
        <v>210</v>
      </c>
      <c r="H102" s="27" t="str">
        <f t="shared" si="3"/>
        <v>Male</v>
      </c>
      <c r="I102" s="27" t="s">
        <v>923</v>
      </c>
      <c r="J102" s="27" t="s">
        <v>924</v>
      </c>
      <c r="K102" s="27" t="s">
        <v>213</v>
      </c>
      <c r="L102" s="27">
        <v>94005</v>
      </c>
      <c r="M102" s="28" t="str">
        <f t="shared" si="4"/>
        <v>4267 Duck Creek Road, Brisbane, CA, 94005</v>
      </c>
      <c r="N102" s="27" t="s">
        <v>925</v>
      </c>
      <c r="O102" s="27" t="s">
        <v>926</v>
      </c>
      <c r="P102" s="28">
        <v>650</v>
      </c>
      <c r="Q102" s="28">
        <v>776</v>
      </c>
      <c r="R102" s="28">
        <v>7291</v>
      </c>
      <c r="S102" s="29" t="s">
        <v>927</v>
      </c>
      <c r="T102" s="28">
        <v>681</v>
      </c>
    </row>
    <row r="103" spans="1:20" ht="14.25" customHeight="1">
      <c r="A103" s="27" t="s">
        <v>357</v>
      </c>
      <c r="B103" s="28" t="str">
        <f t="shared" si="0"/>
        <v>James</v>
      </c>
      <c r="C103" s="27" t="s">
        <v>292</v>
      </c>
      <c r="D103" s="27" t="s">
        <v>928</v>
      </c>
      <c r="E103" s="28" t="str">
        <f t="shared" si="1"/>
        <v>Friar</v>
      </c>
      <c r="F103" s="28" t="str">
        <f t="shared" si="2"/>
        <v>James Friar</v>
      </c>
      <c r="G103" s="27" t="s">
        <v>210</v>
      </c>
      <c r="H103" s="27" t="str">
        <f t="shared" si="3"/>
        <v>Male</v>
      </c>
      <c r="I103" s="27" t="s">
        <v>929</v>
      </c>
      <c r="J103" s="27" t="s">
        <v>930</v>
      </c>
      <c r="K103" s="27" t="s">
        <v>424</v>
      </c>
      <c r="L103" s="27">
        <v>28801</v>
      </c>
      <c r="M103" s="28" t="str">
        <f t="shared" si="4"/>
        <v>4778 Hannah Street, Asheville, NC, 28801</v>
      </c>
      <c r="N103" s="27" t="s">
        <v>931</v>
      </c>
      <c r="O103" s="27" t="s">
        <v>932</v>
      </c>
      <c r="P103" s="28">
        <v>828</v>
      </c>
      <c r="Q103" s="28">
        <v>377</v>
      </c>
      <c r="R103" s="28">
        <v>2478</v>
      </c>
      <c r="S103" s="29" t="s">
        <v>933</v>
      </c>
      <c r="T103" s="28">
        <v>368</v>
      </c>
    </row>
    <row r="104" spans="1:20" ht="14.25" customHeight="1">
      <c r="A104" s="27" t="s">
        <v>639</v>
      </c>
      <c r="B104" s="28" t="str">
        <f t="shared" si="0"/>
        <v>David</v>
      </c>
      <c r="C104" s="27" t="s">
        <v>235</v>
      </c>
      <c r="D104" s="27" t="s">
        <v>934</v>
      </c>
      <c r="E104" s="28" t="str">
        <f t="shared" si="1"/>
        <v>Crum</v>
      </c>
      <c r="F104" s="28" t="str">
        <f t="shared" si="2"/>
        <v>David Crum</v>
      </c>
      <c r="G104" s="27" t="s">
        <v>210</v>
      </c>
      <c r="H104" s="27" t="str">
        <f t="shared" si="3"/>
        <v>Male</v>
      </c>
      <c r="I104" s="27" t="s">
        <v>935</v>
      </c>
      <c r="J104" s="27" t="s">
        <v>936</v>
      </c>
      <c r="K104" s="27" t="s">
        <v>329</v>
      </c>
      <c r="L104" s="27">
        <v>48201</v>
      </c>
      <c r="M104" s="28" t="str">
        <f t="shared" si="4"/>
        <v>1604 Woodbridge Lane, Detroit, MI, 48201</v>
      </c>
      <c r="N104" s="27" t="s">
        <v>937</v>
      </c>
      <c r="O104" s="27" t="s">
        <v>938</v>
      </c>
      <c r="P104" s="28">
        <v>313</v>
      </c>
      <c r="Q104" s="28">
        <v>577</v>
      </c>
      <c r="R104" s="28">
        <v>3173</v>
      </c>
      <c r="S104" s="29" t="s">
        <v>939</v>
      </c>
      <c r="T104" s="28">
        <v>5201</v>
      </c>
    </row>
    <row r="105" spans="1:20" ht="14.25" customHeight="1">
      <c r="A105" s="27" t="s">
        <v>940</v>
      </c>
      <c r="B105" s="28" t="str">
        <f t="shared" si="0"/>
        <v>Gloria</v>
      </c>
      <c r="C105" s="27" t="s">
        <v>208</v>
      </c>
      <c r="D105" s="27" t="s">
        <v>941</v>
      </c>
      <c r="E105" s="28" t="str">
        <f t="shared" si="1"/>
        <v>Torres</v>
      </c>
      <c r="F105" s="28" t="str">
        <f t="shared" si="2"/>
        <v>Gloria Torres</v>
      </c>
      <c r="G105" s="27" t="s">
        <v>200</v>
      </c>
      <c r="H105" s="27" t="str">
        <f t="shared" si="3"/>
        <v>Female</v>
      </c>
      <c r="I105" s="27" t="s">
        <v>942</v>
      </c>
      <c r="J105" s="27" t="s">
        <v>943</v>
      </c>
      <c r="K105" s="27" t="s">
        <v>944</v>
      </c>
      <c r="L105" s="27">
        <v>99503</v>
      </c>
      <c r="M105" s="28" t="str">
        <f t="shared" si="4"/>
        <v>1576 Jerry Toth Drive, Anchorage, AK, 99503</v>
      </c>
      <c r="N105" s="27" t="s">
        <v>945</v>
      </c>
      <c r="O105" s="27" t="s">
        <v>946</v>
      </c>
      <c r="P105" s="28">
        <v>907</v>
      </c>
      <c r="Q105" s="28">
        <v>563</v>
      </c>
      <c r="R105" s="28">
        <v>9002</v>
      </c>
      <c r="S105" s="29" t="s">
        <v>947</v>
      </c>
      <c r="T105" s="28">
        <v>490</v>
      </c>
    </row>
    <row r="106" spans="1:20" ht="14.25" customHeight="1">
      <c r="A106" s="27" t="s">
        <v>948</v>
      </c>
      <c r="B106" s="28" t="str">
        <f t="shared" si="0"/>
        <v>Derrick</v>
      </c>
      <c r="C106" s="27" t="s">
        <v>949</v>
      </c>
      <c r="D106" s="27" t="s">
        <v>578</v>
      </c>
      <c r="E106" s="28" t="str">
        <f t="shared" si="1"/>
        <v>Brown</v>
      </c>
      <c r="F106" s="28" t="str">
        <f t="shared" si="2"/>
        <v>Derrick Brown</v>
      </c>
      <c r="G106" s="27" t="s">
        <v>210</v>
      </c>
      <c r="H106" s="27" t="str">
        <f t="shared" si="3"/>
        <v>Male</v>
      </c>
      <c r="I106" s="27" t="s">
        <v>950</v>
      </c>
      <c r="J106" s="27" t="s">
        <v>951</v>
      </c>
      <c r="K106" s="27" t="s">
        <v>264</v>
      </c>
      <c r="L106" s="27">
        <v>36067</v>
      </c>
      <c r="M106" s="28" t="str">
        <f t="shared" si="4"/>
        <v>2359 Turkey Pen Lane, Holtville, AL, 36067</v>
      </c>
      <c r="N106" s="27" t="s">
        <v>952</v>
      </c>
      <c r="O106" s="27" t="s">
        <v>953</v>
      </c>
      <c r="P106" s="28">
        <v>334</v>
      </c>
      <c r="Q106" s="28">
        <v>569</v>
      </c>
      <c r="R106" s="28">
        <v>9587</v>
      </c>
      <c r="S106" s="29" t="s">
        <v>954</v>
      </c>
      <c r="T106" s="28">
        <v>747</v>
      </c>
    </row>
    <row r="107" spans="1:20" ht="14.25" customHeight="1">
      <c r="A107" s="27" t="s">
        <v>639</v>
      </c>
      <c r="B107" s="28" t="str">
        <f t="shared" si="0"/>
        <v>David</v>
      </c>
      <c r="C107" s="27" t="s">
        <v>350</v>
      </c>
      <c r="D107" s="27" t="s">
        <v>955</v>
      </c>
      <c r="E107" s="28" t="str">
        <f t="shared" si="1"/>
        <v>Allen</v>
      </c>
      <c r="F107" s="28" t="str">
        <f t="shared" si="2"/>
        <v>David Allen</v>
      </c>
      <c r="G107" s="27" t="s">
        <v>210</v>
      </c>
      <c r="H107" s="27" t="str">
        <f t="shared" si="3"/>
        <v>Male</v>
      </c>
      <c r="I107" s="27" t="s">
        <v>956</v>
      </c>
      <c r="J107" s="27" t="s">
        <v>957</v>
      </c>
      <c r="K107" s="27" t="s">
        <v>958</v>
      </c>
      <c r="L107" s="27">
        <v>5301</v>
      </c>
      <c r="M107" s="28" t="str">
        <f t="shared" si="4"/>
        <v>3143 Hardman Road, Brattleboro, VT, 5301</v>
      </c>
      <c r="N107" s="27" t="s">
        <v>959</v>
      </c>
      <c r="O107" s="27" t="s">
        <v>960</v>
      </c>
      <c r="P107" s="28">
        <v>802</v>
      </c>
      <c r="Q107" s="28">
        <v>817</v>
      </c>
      <c r="R107" s="28">
        <v>4962</v>
      </c>
      <c r="S107" s="29" t="s">
        <v>961</v>
      </c>
      <c r="T107" s="28">
        <v>9079</v>
      </c>
    </row>
    <row r="108" spans="1:20" ht="14.25" customHeight="1">
      <c r="A108" s="27" t="s">
        <v>962</v>
      </c>
      <c r="B108" s="28" t="str">
        <f t="shared" si="0"/>
        <v>Tracie</v>
      </c>
      <c r="C108" s="27" t="s">
        <v>334</v>
      </c>
      <c r="D108" s="27" t="s">
        <v>963</v>
      </c>
      <c r="E108" s="28" t="str">
        <f t="shared" si="1"/>
        <v>Sellers</v>
      </c>
      <c r="F108" s="28" t="str">
        <f t="shared" si="2"/>
        <v>Tracie Sellers</v>
      </c>
      <c r="G108" s="27" t="s">
        <v>200</v>
      </c>
      <c r="H108" s="27" t="str">
        <f t="shared" si="3"/>
        <v>Female</v>
      </c>
      <c r="I108" s="27" t="s">
        <v>964</v>
      </c>
      <c r="J108" s="27" t="s">
        <v>965</v>
      </c>
      <c r="K108" s="27" t="s">
        <v>424</v>
      </c>
      <c r="L108" s="27">
        <v>28501</v>
      </c>
      <c r="M108" s="28" t="str">
        <f t="shared" si="4"/>
        <v>472 Fort Street, Kinston, NC, 28501</v>
      </c>
      <c r="N108" s="27" t="s">
        <v>966</v>
      </c>
      <c r="O108" s="27" t="s">
        <v>967</v>
      </c>
      <c r="P108" s="28">
        <v>252</v>
      </c>
      <c r="Q108" s="28">
        <v>939</v>
      </c>
      <c r="R108" s="28">
        <v>9519</v>
      </c>
      <c r="S108" s="29" t="s">
        <v>968</v>
      </c>
      <c r="T108" s="28">
        <v>977</v>
      </c>
    </row>
    <row r="109" spans="1:20" ht="14.25" customHeight="1">
      <c r="A109" s="27" t="s">
        <v>969</v>
      </c>
      <c r="B109" s="28" t="str">
        <f t="shared" si="0"/>
        <v>Rocky</v>
      </c>
      <c r="C109" s="27" t="s">
        <v>350</v>
      </c>
      <c r="D109" s="27" t="s">
        <v>970</v>
      </c>
      <c r="E109" s="28" t="str">
        <f t="shared" si="1"/>
        <v>Weatherspoon</v>
      </c>
      <c r="F109" s="28" t="str">
        <f t="shared" si="2"/>
        <v>Rocky Weatherspoon</v>
      </c>
      <c r="G109" s="27" t="s">
        <v>210</v>
      </c>
      <c r="H109" s="27" t="str">
        <f t="shared" si="3"/>
        <v>Male</v>
      </c>
      <c r="I109" s="27" t="s">
        <v>971</v>
      </c>
      <c r="J109" s="27" t="s">
        <v>972</v>
      </c>
      <c r="K109" s="27" t="s">
        <v>272</v>
      </c>
      <c r="L109" s="27">
        <v>11801</v>
      </c>
      <c r="M109" s="28" t="str">
        <f t="shared" si="4"/>
        <v>850 Stanley Avenue, Hicksville, NY, 11801</v>
      </c>
      <c r="N109" s="27" t="s">
        <v>973</v>
      </c>
      <c r="O109" s="27" t="s">
        <v>974</v>
      </c>
      <c r="P109" s="28">
        <v>516</v>
      </c>
      <c r="Q109" s="28">
        <v>545</v>
      </c>
      <c r="R109" s="28">
        <v>5590</v>
      </c>
      <c r="S109" s="29" t="s">
        <v>975</v>
      </c>
      <c r="T109" s="28">
        <v>3513</v>
      </c>
    </row>
    <row r="110" spans="1:20" ht="14.25" customHeight="1">
      <c r="A110" s="27" t="s">
        <v>976</v>
      </c>
      <c r="B110" s="28" t="str">
        <f t="shared" si="0"/>
        <v>Kevin</v>
      </c>
      <c r="C110" s="27" t="s">
        <v>226</v>
      </c>
      <c r="D110" s="27" t="s">
        <v>977</v>
      </c>
      <c r="E110" s="28" t="str">
        <f t="shared" si="1"/>
        <v>Gibson</v>
      </c>
      <c r="F110" s="28" t="str">
        <f t="shared" si="2"/>
        <v>Kevin Gibson</v>
      </c>
      <c r="G110" s="27" t="s">
        <v>210</v>
      </c>
      <c r="H110" s="27" t="str">
        <f t="shared" si="3"/>
        <v>Male</v>
      </c>
      <c r="I110" s="27" t="s">
        <v>978</v>
      </c>
      <c r="J110" s="27" t="s">
        <v>400</v>
      </c>
      <c r="K110" s="27" t="s">
        <v>213</v>
      </c>
      <c r="L110" s="27">
        <v>90017</v>
      </c>
      <c r="M110" s="28" t="str">
        <f t="shared" si="4"/>
        <v>4577 Zimmerman Lane, Los Angeles, CA, 90017</v>
      </c>
      <c r="N110" s="27" t="s">
        <v>979</v>
      </c>
      <c r="O110" s="27" t="s">
        <v>980</v>
      </c>
      <c r="P110" s="28">
        <v>213</v>
      </c>
      <c r="Q110" s="28">
        <v>517</v>
      </c>
      <c r="R110" s="28">
        <v>4820</v>
      </c>
      <c r="S110" s="29" t="s">
        <v>981</v>
      </c>
      <c r="T110" s="28">
        <v>868</v>
      </c>
    </row>
    <row r="111" spans="1:20" ht="14.25" customHeight="1">
      <c r="A111" s="27" t="s">
        <v>982</v>
      </c>
      <c r="B111" s="28" t="str">
        <f t="shared" si="0"/>
        <v>Elaine</v>
      </c>
      <c r="C111" s="27" t="s">
        <v>334</v>
      </c>
      <c r="D111" s="27" t="s">
        <v>983</v>
      </c>
      <c r="E111" s="28" t="str">
        <f t="shared" si="1"/>
        <v>Cunningham</v>
      </c>
      <c r="F111" s="28" t="str">
        <f t="shared" si="2"/>
        <v>Elaine Cunningham</v>
      </c>
      <c r="G111" s="27" t="s">
        <v>200</v>
      </c>
      <c r="H111" s="27" t="str">
        <f t="shared" si="3"/>
        <v>Female</v>
      </c>
      <c r="I111" s="27" t="s">
        <v>984</v>
      </c>
      <c r="J111" s="27" t="s">
        <v>985</v>
      </c>
      <c r="K111" s="27" t="s">
        <v>469</v>
      </c>
      <c r="L111" s="27">
        <v>43085</v>
      </c>
      <c r="M111" s="28" t="str">
        <f t="shared" si="4"/>
        <v>4941 Viking Drive, Worthington, OH, 43085</v>
      </c>
      <c r="N111" s="27" t="s">
        <v>986</v>
      </c>
      <c r="O111" s="27" t="s">
        <v>987</v>
      </c>
      <c r="P111" s="28">
        <v>740</v>
      </c>
      <c r="Q111" s="28">
        <v>721</v>
      </c>
      <c r="R111" s="28">
        <v>7555</v>
      </c>
      <c r="S111" s="29" t="s">
        <v>988</v>
      </c>
      <c r="T111" s="28">
        <v>618</v>
      </c>
    </row>
    <row r="112" spans="1:20" ht="14.25" customHeight="1">
      <c r="A112" s="27" t="s">
        <v>989</v>
      </c>
      <c r="B112" s="28" t="str">
        <f t="shared" si="0"/>
        <v>Charles</v>
      </c>
      <c r="C112" s="27" t="s">
        <v>208</v>
      </c>
      <c r="D112" s="27" t="s">
        <v>990</v>
      </c>
      <c r="E112" s="28" t="str">
        <f t="shared" si="1"/>
        <v>Castro</v>
      </c>
      <c r="F112" s="28" t="str">
        <f t="shared" si="2"/>
        <v>Charles Castro</v>
      </c>
      <c r="G112" s="27" t="s">
        <v>210</v>
      </c>
      <c r="H112" s="27" t="str">
        <f t="shared" si="3"/>
        <v>Male</v>
      </c>
      <c r="I112" s="27" t="s">
        <v>991</v>
      </c>
      <c r="J112" s="27" t="s">
        <v>992</v>
      </c>
      <c r="K112" s="27" t="s">
        <v>706</v>
      </c>
      <c r="L112" s="27">
        <v>15672</v>
      </c>
      <c r="M112" s="28" t="str">
        <f t="shared" si="4"/>
        <v>2165 Michigan Avenue, New Stanton, PA, 15672</v>
      </c>
      <c r="N112" s="27" t="s">
        <v>993</v>
      </c>
      <c r="O112" s="27" t="s">
        <v>994</v>
      </c>
      <c r="P112" s="28">
        <v>724</v>
      </c>
      <c r="Q112" s="28">
        <v>696</v>
      </c>
      <c r="R112" s="28">
        <v>9820</v>
      </c>
      <c r="S112" s="29" t="s">
        <v>995</v>
      </c>
      <c r="T112" s="28">
        <v>532</v>
      </c>
    </row>
    <row r="113" spans="1:20" ht="14.25" customHeight="1">
      <c r="A113" s="27" t="s">
        <v>996</v>
      </c>
      <c r="B113" s="28" t="str">
        <f t="shared" si="0"/>
        <v>Les</v>
      </c>
      <c r="C113" s="27" t="s">
        <v>949</v>
      </c>
      <c r="D113" s="27" t="s">
        <v>997</v>
      </c>
      <c r="E113" s="28" t="str">
        <f t="shared" si="1"/>
        <v>Lawhon</v>
      </c>
      <c r="F113" s="28" t="str">
        <f t="shared" si="2"/>
        <v>Les Lawhon</v>
      </c>
      <c r="G113" s="27" t="s">
        <v>210</v>
      </c>
      <c r="H113" s="27" t="str">
        <f t="shared" si="3"/>
        <v>Male</v>
      </c>
      <c r="I113" s="27" t="s">
        <v>998</v>
      </c>
      <c r="J113" s="27" t="s">
        <v>972</v>
      </c>
      <c r="K113" s="27" t="s">
        <v>272</v>
      </c>
      <c r="L113" s="27">
        <v>11612</v>
      </c>
      <c r="M113" s="28" t="str">
        <f t="shared" si="4"/>
        <v>3075 Westwood Avenue, Hicksville, NY, 11612</v>
      </c>
      <c r="N113" s="27" t="s">
        <v>999</v>
      </c>
      <c r="O113" s="27" t="s">
        <v>1000</v>
      </c>
      <c r="P113" s="28">
        <v>516</v>
      </c>
      <c r="Q113" s="28">
        <v>802</v>
      </c>
      <c r="R113" s="28">
        <v>1216</v>
      </c>
      <c r="S113" s="29" t="s">
        <v>1001</v>
      </c>
      <c r="T113" s="28">
        <v>827</v>
      </c>
    </row>
    <row r="114" spans="1:20" ht="14.25" customHeight="1">
      <c r="A114" s="27" t="s">
        <v>1002</v>
      </c>
      <c r="B114" s="28" t="str">
        <f t="shared" si="0"/>
        <v>Ronald</v>
      </c>
      <c r="C114" s="27" t="s">
        <v>309</v>
      </c>
      <c r="D114" s="27" t="s">
        <v>1003</v>
      </c>
      <c r="E114" s="28" t="str">
        <f t="shared" si="1"/>
        <v>Gordon</v>
      </c>
      <c r="F114" s="28" t="str">
        <f t="shared" si="2"/>
        <v>Ronald Gordon</v>
      </c>
      <c r="G114" s="27" t="s">
        <v>210</v>
      </c>
      <c r="H114" s="27" t="str">
        <f t="shared" si="3"/>
        <v>Male</v>
      </c>
      <c r="I114" s="27" t="s">
        <v>1004</v>
      </c>
      <c r="J114" s="27" t="s">
        <v>1005</v>
      </c>
      <c r="K114" s="27" t="s">
        <v>1006</v>
      </c>
      <c r="L114" s="27">
        <v>55402</v>
      </c>
      <c r="M114" s="28" t="str">
        <f t="shared" si="4"/>
        <v>4048 Courtright Street, Minneapolis, ND, 55402</v>
      </c>
      <c r="N114" s="27" t="s">
        <v>1007</v>
      </c>
      <c r="O114" s="27" t="s">
        <v>1008</v>
      </c>
      <c r="P114" s="28">
        <v>701</v>
      </c>
      <c r="Q114" s="28">
        <v>555</v>
      </c>
      <c r="R114" s="28">
        <v>3444</v>
      </c>
      <c r="S114" s="29" t="s">
        <v>1009</v>
      </c>
      <c r="T114" s="28">
        <v>2475</v>
      </c>
    </row>
    <row r="115" spans="1:20" ht="14.25" customHeight="1">
      <c r="A115" s="27" t="s">
        <v>1010</v>
      </c>
      <c r="B115" s="28" t="str">
        <f t="shared" si="0"/>
        <v>Kenneth</v>
      </c>
      <c r="C115" s="27" t="s">
        <v>1011</v>
      </c>
      <c r="D115" s="27" t="s">
        <v>830</v>
      </c>
      <c r="E115" s="28" t="str">
        <f t="shared" si="1"/>
        <v>Harris</v>
      </c>
      <c r="F115" s="28" t="str">
        <f t="shared" si="2"/>
        <v>Kenneth Harris</v>
      </c>
      <c r="G115" s="27" t="s">
        <v>210</v>
      </c>
      <c r="H115" s="27" t="str">
        <f t="shared" si="3"/>
        <v>Male</v>
      </c>
      <c r="I115" s="27" t="s">
        <v>1012</v>
      </c>
      <c r="J115" s="27" t="s">
        <v>353</v>
      </c>
      <c r="K115" s="27" t="s">
        <v>203</v>
      </c>
      <c r="L115" s="27">
        <v>60605</v>
      </c>
      <c r="M115" s="28" t="str">
        <f t="shared" si="4"/>
        <v>1634 Patterson Fork Road, Chicago, IL, 60605</v>
      </c>
      <c r="N115" s="27" t="s">
        <v>1013</v>
      </c>
      <c r="O115" s="27" t="s">
        <v>1014</v>
      </c>
      <c r="P115" s="28">
        <v>312</v>
      </c>
      <c r="Q115" s="28">
        <v>675</v>
      </c>
      <c r="R115" s="28">
        <v>4767</v>
      </c>
      <c r="S115" s="29" t="s">
        <v>1015</v>
      </c>
      <c r="T115" s="28">
        <v>905</v>
      </c>
    </row>
    <row r="116" spans="1:20" ht="14.25" customHeight="1">
      <c r="A116" s="27" t="s">
        <v>1016</v>
      </c>
      <c r="B116" s="28" t="str">
        <f t="shared" si="0"/>
        <v>Nicole</v>
      </c>
      <c r="C116" s="27" t="s">
        <v>334</v>
      </c>
      <c r="D116" s="27" t="s">
        <v>1017</v>
      </c>
      <c r="E116" s="28" t="str">
        <f t="shared" si="1"/>
        <v>Perez</v>
      </c>
      <c r="F116" s="28" t="str">
        <f t="shared" si="2"/>
        <v>Nicole Perez</v>
      </c>
      <c r="G116" s="27" t="s">
        <v>200</v>
      </c>
      <c r="H116" s="27" t="str">
        <f t="shared" si="3"/>
        <v>Female</v>
      </c>
      <c r="I116" s="27" t="s">
        <v>1018</v>
      </c>
      <c r="J116" s="27" t="s">
        <v>1019</v>
      </c>
      <c r="K116" s="27" t="s">
        <v>256</v>
      </c>
      <c r="L116" s="27">
        <v>78205</v>
      </c>
      <c r="M116" s="28" t="str">
        <f t="shared" si="4"/>
        <v>3673 Weekley Street, San Antonio, TX, 78205</v>
      </c>
      <c r="N116" s="27" t="s">
        <v>1020</v>
      </c>
      <c r="O116" s="27" t="s">
        <v>1021</v>
      </c>
      <c r="P116" s="28">
        <v>210</v>
      </c>
      <c r="Q116" s="28">
        <v>332</v>
      </c>
      <c r="R116" s="28">
        <v>7713</v>
      </c>
      <c r="S116" s="29" t="s">
        <v>1022</v>
      </c>
      <c r="T116" s="28">
        <v>2864</v>
      </c>
    </row>
    <row r="117" spans="1:20" ht="14.25" customHeight="1">
      <c r="A117" s="27" t="s">
        <v>1023</v>
      </c>
      <c r="B117" s="28" t="str">
        <f t="shared" si="0"/>
        <v>Michelle</v>
      </c>
      <c r="C117" s="27" t="s">
        <v>350</v>
      </c>
      <c r="D117" s="27" t="s">
        <v>1024</v>
      </c>
      <c r="E117" s="28" t="str">
        <f t="shared" si="1"/>
        <v>Keown</v>
      </c>
      <c r="F117" s="28" t="str">
        <f t="shared" si="2"/>
        <v>Michelle Keown</v>
      </c>
      <c r="G117" s="27" t="s">
        <v>200</v>
      </c>
      <c r="H117" s="27" t="str">
        <f t="shared" si="3"/>
        <v>Female</v>
      </c>
      <c r="I117" s="27" t="s">
        <v>1025</v>
      </c>
      <c r="J117" s="27" t="s">
        <v>1026</v>
      </c>
      <c r="K117" s="27" t="s">
        <v>706</v>
      </c>
      <c r="L117" s="27">
        <v>19146</v>
      </c>
      <c r="M117" s="28" t="str">
        <f t="shared" si="4"/>
        <v>1993 Tipple Road, Philadelphia, PA, 19146</v>
      </c>
      <c r="N117" s="27" t="s">
        <v>1027</v>
      </c>
      <c r="O117" s="27" t="s">
        <v>1028</v>
      </c>
      <c r="P117" s="28">
        <v>215</v>
      </c>
      <c r="Q117" s="28">
        <v>790</v>
      </c>
      <c r="R117" s="28">
        <v>4399</v>
      </c>
      <c r="S117" s="29" t="s">
        <v>1029</v>
      </c>
      <c r="T117" s="28">
        <v>5193</v>
      </c>
    </row>
    <row r="118" spans="1:20" ht="14.25" customHeight="1">
      <c r="A118" s="27" t="s">
        <v>316</v>
      </c>
      <c r="B118" s="28" t="str">
        <f t="shared" si="0"/>
        <v>Sue</v>
      </c>
      <c r="C118" s="27" t="s">
        <v>198</v>
      </c>
      <c r="D118" s="27" t="s">
        <v>1030</v>
      </c>
      <c r="E118" s="28" t="str">
        <f t="shared" si="1"/>
        <v>Doucette</v>
      </c>
      <c r="F118" s="28" t="str">
        <f t="shared" si="2"/>
        <v>Sue Doucette</v>
      </c>
      <c r="G118" s="27" t="s">
        <v>200</v>
      </c>
      <c r="H118" s="27" t="str">
        <f t="shared" si="3"/>
        <v>Female</v>
      </c>
      <c r="I118" s="27" t="s">
        <v>1031</v>
      </c>
      <c r="J118" s="27" t="s">
        <v>671</v>
      </c>
      <c r="K118" s="27" t="s">
        <v>368</v>
      </c>
      <c r="L118" s="27">
        <v>33311</v>
      </c>
      <c r="M118" s="28" t="str">
        <f t="shared" si="4"/>
        <v>3416 Tyler Avenue, Ft Lauderdale, FL, 33311</v>
      </c>
      <c r="N118" s="27" t="s">
        <v>1032</v>
      </c>
      <c r="O118" s="27" t="s">
        <v>1033</v>
      </c>
      <c r="P118" s="28">
        <v>305</v>
      </c>
      <c r="Q118" s="28">
        <v>308</v>
      </c>
      <c r="R118" s="28">
        <v>272</v>
      </c>
      <c r="S118" s="29" t="s">
        <v>1034</v>
      </c>
      <c r="T118" s="28">
        <v>925</v>
      </c>
    </row>
    <row r="119" spans="1:20" ht="14.25" customHeight="1">
      <c r="A119" s="27" t="s">
        <v>1035</v>
      </c>
      <c r="B119" s="28" t="str">
        <f t="shared" si="0"/>
        <v>Lillian</v>
      </c>
      <c r="C119" s="27" t="s">
        <v>198</v>
      </c>
      <c r="D119" s="27" t="s">
        <v>1036</v>
      </c>
      <c r="E119" s="28" t="str">
        <f t="shared" si="1"/>
        <v>Kline</v>
      </c>
      <c r="F119" s="28" t="str">
        <f t="shared" si="2"/>
        <v>Lillian Kline</v>
      </c>
      <c r="G119" s="27" t="s">
        <v>200</v>
      </c>
      <c r="H119" s="27" t="str">
        <f t="shared" si="3"/>
        <v>Female</v>
      </c>
      <c r="I119" s="27" t="s">
        <v>1037</v>
      </c>
      <c r="J119" s="27" t="s">
        <v>1038</v>
      </c>
      <c r="K119" s="27" t="s">
        <v>1039</v>
      </c>
      <c r="L119" s="27">
        <v>98908</v>
      </c>
      <c r="M119" s="28" t="str">
        <f t="shared" si="4"/>
        <v>4188 Sun Valley Road, Yakima, WA, 98908</v>
      </c>
      <c r="N119" s="27" t="s">
        <v>1040</v>
      </c>
      <c r="O119" s="27" t="s">
        <v>1041</v>
      </c>
      <c r="P119" s="28">
        <v>509</v>
      </c>
      <c r="Q119" s="28">
        <v>790</v>
      </c>
      <c r="R119" s="28">
        <v>804</v>
      </c>
      <c r="S119" s="29" t="s">
        <v>1042</v>
      </c>
      <c r="T119" s="28">
        <v>431</v>
      </c>
    </row>
    <row r="120" spans="1:20" ht="14.25" customHeight="1">
      <c r="A120" s="27" t="s">
        <v>1043</v>
      </c>
      <c r="B120" s="28" t="str">
        <f t="shared" si="0"/>
        <v>Linda</v>
      </c>
      <c r="C120" s="27" t="s">
        <v>284</v>
      </c>
      <c r="D120" s="27" t="s">
        <v>1044</v>
      </c>
      <c r="E120" s="28" t="str">
        <f t="shared" si="1"/>
        <v>Chasse</v>
      </c>
      <c r="F120" s="28" t="str">
        <f t="shared" si="2"/>
        <v>Linda Chasse</v>
      </c>
      <c r="G120" s="27" t="s">
        <v>200</v>
      </c>
      <c r="H120" s="27" t="str">
        <f t="shared" si="3"/>
        <v>Female</v>
      </c>
      <c r="I120" s="27" t="s">
        <v>1045</v>
      </c>
      <c r="J120" s="27" t="s">
        <v>1046</v>
      </c>
      <c r="K120" s="27" t="s">
        <v>203</v>
      </c>
      <c r="L120" s="27">
        <v>60173</v>
      </c>
      <c r="M120" s="28" t="str">
        <f t="shared" si="4"/>
        <v>4155 Kembery Drive, Schaumburg, IL, 60173</v>
      </c>
      <c r="N120" s="27" t="s">
        <v>1047</v>
      </c>
      <c r="O120" s="27" t="s">
        <v>1048</v>
      </c>
      <c r="P120" s="28">
        <v>630</v>
      </c>
      <c r="Q120" s="28">
        <v>602</v>
      </c>
      <c r="R120" s="28">
        <v>5913</v>
      </c>
      <c r="S120" s="29" t="s">
        <v>1049</v>
      </c>
      <c r="T120" s="28">
        <v>3647</v>
      </c>
    </row>
    <row r="121" spans="1:20" ht="14.25" customHeight="1">
      <c r="A121" s="27" t="s">
        <v>1050</v>
      </c>
      <c r="B121" s="28" t="str">
        <f t="shared" si="0"/>
        <v>Jean</v>
      </c>
      <c r="C121" s="27" t="s">
        <v>300</v>
      </c>
      <c r="D121" s="27" t="s">
        <v>1051</v>
      </c>
      <c r="E121" s="28" t="str">
        <f t="shared" si="1"/>
        <v>Garcia</v>
      </c>
      <c r="F121" s="28" t="str">
        <f t="shared" si="2"/>
        <v>Jean Garcia</v>
      </c>
      <c r="G121" s="27" t="s">
        <v>200</v>
      </c>
      <c r="H121" s="27" t="str">
        <f t="shared" si="3"/>
        <v>Female</v>
      </c>
      <c r="I121" s="27" t="s">
        <v>1052</v>
      </c>
      <c r="J121" s="27" t="s">
        <v>567</v>
      </c>
      <c r="K121" s="27" t="s">
        <v>433</v>
      </c>
      <c r="L121" s="27">
        <v>2138</v>
      </c>
      <c r="M121" s="28" t="str">
        <f t="shared" si="4"/>
        <v>4646 Lynn Street, Cambridge, MA, 2138</v>
      </c>
      <c r="N121" s="27" t="s">
        <v>1053</v>
      </c>
      <c r="O121" s="27" t="s">
        <v>1054</v>
      </c>
      <c r="P121" s="28">
        <v>617</v>
      </c>
      <c r="Q121" s="28">
        <v>226</v>
      </c>
      <c r="R121" s="28">
        <v>8333</v>
      </c>
      <c r="S121" s="29" t="s">
        <v>1055</v>
      </c>
      <c r="T121" s="28">
        <v>8139</v>
      </c>
    </row>
    <row r="122" spans="1:20" ht="14.25" customHeight="1">
      <c r="A122" s="27" t="s">
        <v>1056</v>
      </c>
      <c r="B122" s="28" t="str">
        <f t="shared" si="0"/>
        <v>Sean</v>
      </c>
      <c r="C122" s="27" t="s">
        <v>350</v>
      </c>
      <c r="D122" s="27" t="s">
        <v>1057</v>
      </c>
      <c r="E122" s="28" t="str">
        <f t="shared" si="1"/>
        <v>Baltes</v>
      </c>
      <c r="F122" s="28" t="str">
        <f t="shared" si="2"/>
        <v>Sean Baltes</v>
      </c>
      <c r="G122" s="27" t="s">
        <v>210</v>
      </c>
      <c r="H122" s="27" t="str">
        <f t="shared" si="3"/>
        <v>Male</v>
      </c>
      <c r="I122" s="27" t="s">
        <v>1058</v>
      </c>
      <c r="J122" s="27" t="s">
        <v>832</v>
      </c>
      <c r="K122" s="27" t="s">
        <v>581</v>
      </c>
      <c r="L122" s="27">
        <v>21202</v>
      </c>
      <c r="M122" s="28" t="str">
        <f t="shared" si="4"/>
        <v>2545 Calvin Street, Baltimore, MD, 21202</v>
      </c>
      <c r="N122" s="27" t="s">
        <v>1059</v>
      </c>
      <c r="O122" s="27" t="s">
        <v>1060</v>
      </c>
      <c r="P122" s="28">
        <v>443</v>
      </c>
      <c r="Q122" s="28">
        <v>425</v>
      </c>
      <c r="R122" s="28">
        <v>71</v>
      </c>
      <c r="S122" s="29" t="s">
        <v>1061</v>
      </c>
      <c r="T122" s="28">
        <v>4734</v>
      </c>
    </row>
    <row r="123" spans="1:20" ht="14.25" customHeight="1">
      <c r="A123" s="27" t="s">
        <v>1062</v>
      </c>
      <c r="B123" s="28" t="str">
        <f t="shared" si="0"/>
        <v>Benjamin</v>
      </c>
      <c r="C123" s="27" t="s">
        <v>300</v>
      </c>
      <c r="D123" s="27" t="s">
        <v>559</v>
      </c>
      <c r="E123" s="28" t="str">
        <f t="shared" si="1"/>
        <v>Castaneda</v>
      </c>
      <c r="F123" s="28" t="str">
        <f t="shared" si="2"/>
        <v>Benjamin Castaneda</v>
      </c>
      <c r="G123" s="27" t="s">
        <v>210</v>
      </c>
      <c r="H123" s="27" t="str">
        <f t="shared" si="3"/>
        <v>Male</v>
      </c>
      <c r="I123" s="27" t="s">
        <v>1063</v>
      </c>
      <c r="J123" s="27" t="s">
        <v>1064</v>
      </c>
      <c r="K123" s="27" t="s">
        <v>1065</v>
      </c>
      <c r="L123" s="27">
        <v>66202</v>
      </c>
      <c r="M123" s="28" t="str">
        <f t="shared" si="4"/>
        <v>725 Poe Lane, Mission, KS, 66202</v>
      </c>
      <c r="N123" s="27" t="s">
        <v>1066</v>
      </c>
      <c r="O123" s="27" t="s">
        <v>1067</v>
      </c>
      <c r="P123" s="28">
        <v>913</v>
      </c>
      <c r="Q123" s="28">
        <v>424</v>
      </c>
      <c r="R123" s="28">
        <v>4228</v>
      </c>
      <c r="S123" s="29" t="s">
        <v>1068</v>
      </c>
      <c r="T123" s="28">
        <v>9381</v>
      </c>
    </row>
    <row r="124" spans="1:20" ht="14.25" customHeight="1">
      <c r="A124" s="27" t="s">
        <v>1069</v>
      </c>
      <c r="B124" s="28" t="str">
        <f t="shared" si="0"/>
        <v>Jerry</v>
      </c>
      <c r="C124" s="27" t="s">
        <v>226</v>
      </c>
      <c r="D124" s="27" t="s">
        <v>1070</v>
      </c>
      <c r="E124" s="28" t="str">
        <f t="shared" si="1"/>
        <v>Mills</v>
      </c>
      <c r="F124" s="28" t="str">
        <f t="shared" si="2"/>
        <v>Jerry Mills</v>
      </c>
      <c r="G124" s="27" t="s">
        <v>210</v>
      </c>
      <c r="H124" s="27" t="str">
        <f t="shared" si="3"/>
        <v>Male</v>
      </c>
      <c r="I124" s="27" t="s">
        <v>1071</v>
      </c>
      <c r="J124" s="27" t="s">
        <v>1072</v>
      </c>
      <c r="K124" s="27" t="s">
        <v>650</v>
      </c>
      <c r="L124" s="27">
        <v>73622</v>
      </c>
      <c r="M124" s="28" t="str">
        <f t="shared" si="4"/>
        <v>1083 Grove Avenue, Bessie, OK, 73622</v>
      </c>
      <c r="N124" s="27" t="s">
        <v>1073</v>
      </c>
      <c r="O124" s="27" t="s">
        <v>1074</v>
      </c>
      <c r="P124" s="28">
        <v>580</v>
      </c>
      <c r="Q124" s="28">
        <v>373</v>
      </c>
      <c r="R124" s="28">
        <v>5226</v>
      </c>
      <c r="S124" s="29" t="s">
        <v>1075</v>
      </c>
      <c r="T124" s="28">
        <v>523</v>
      </c>
    </row>
    <row r="125" spans="1:20" ht="14.25" customHeight="1">
      <c r="A125" s="27" t="s">
        <v>1076</v>
      </c>
      <c r="B125" s="28" t="str">
        <f t="shared" si="0"/>
        <v>Douglas</v>
      </c>
      <c r="C125" s="27" t="s">
        <v>226</v>
      </c>
      <c r="D125" s="27" t="s">
        <v>1077</v>
      </c>
      <c r="E125" s="28" t="str">
        <f t="shared" si="1"/>
        <v>Wright</v>
      </c>
      <c r="F125" s="28" t="str">
        <f t="shared" si="2"/>
        <v>Douglas Wright</v>
      </c>
      <c r="G125" s="27" t="s">
        <v>210</v>
      </c>
      <c r="H125" s="27" t="str">
        <f t="shared" si="3"/>
        <v>Male</v>
      </c>
      <c r="I125" s="27" t="s">
        <v>1078</v>
      </c>
      <c r="J125" s="27" t="s">
        <v>1079</v>
      </c>
      <c r="K125" s="27" t="s">
        <v>581</v>
      </c>
      <c r="L125" s="27">
        <v>20772</v>
      </c>
      <c r="M125" s="28" t="str">
        <f t="shared" si="4"/>
        <v>210 Adams Avenue, Upper Marlboro, MD, 20772</v>
      </c>
      <c r="N125" s="27" t="s">
        <v>1080</v>
      </c>
      <c r="O125" s="27" t="s">
        <v>1081</v>
      </c>
      <c r="P125" s="28">
        <v>301</v>
      </c>
      <c r="Q125" s="28">
        <v>627</v>
      </c>
      <c r="R125" s="28">
        <v>9555</v>
      </c>
      <c r="S125" s="29" t="s">
        <v>1082</v>
      </c>
      <c r="T125" s="28">
        <v>6416</v>
      </c>
    </row>
    <row r="126" spans="1:20" ht="14.25" customHeight="1">
      <c r="A126" s="27" t="s">
        <v>1083</v>
      </c>
      <c r="B126" s="28" t="str">
        <f t="shared" si="0"/>
        <v>Christopher</v>
      </c>
      <c r="C126" s="27" t="s">
        <v>334</v>
      </c>
      <c r="D126" s="27" t="s">
        <v>1084</v>
      </c>
      <c r="E126" s="28" t="str">
        <f t="shared" si="1"/>
        <v>Lane</v>
      </c>
      <c r="F126" s="28" t="str">
        <f t="shared" si="2"/>
        <v>Christopher Lane</v>
      </c>
      <c r="G126" s="27" t="s">
        <v>210</v>
      </c>
      <c r="H126" s="27" t="str">
        <f t="shared" si="3"/>
        <v>Male</v>
      </c>
      <c r="I126" s="27" t="s">
        <v>1085</v>
      </c>
      <c r="J126" s="27" t="s">
        <v>1086</v>
      </c>
      <c r="K126" s="27" t="s">
        <v>1087</v>
      </c>
      <c r="L126" s="27">
        <v>4958</v>
      </c>
      <c r="M126" s="28" t="str">
        <f t="shared" si="4"/>
        <v>2191 Bloomfield Way, Embden Lake, ME, 4958</v>
      </c>
      <c r="N126" s="27" t="s">
        <v>1088</v>
      </c>
      <c r="O126" s="27" t="s">
        <v>1089</v>
      </c>
      <c r="P126" s="28">
        <v>207</v>
      </c>
      <c r="Q126" s="28">
        <v>566</v>
      </c>
      <c r="R126" s="28">
        <v>8114</v>
      </c>
      <c r="S126" s="29" t="s">
        <v>1090</v>
      </c>
      <c r="T126" s="28">
        <v>132</v>
      </c>
    </row>
    <row r="127" spans="1:20" ht="14.25" customHeight="1">
      <c r="A127" s="27" t="s">
        <v>1091</v>
      </c>
      <c r="B127" s="28" t="str">
        <f t="shared" si="0"/>
        <v>Monte</v>
      </c>
      <c r="C127" s="27" t="s">
        <v>252</v>
      </c>
      <c r="D127" s="27" t="s">
        <v>1092</v>
      </c>
      <c r="E127" s="28" t="str">
        <f t="shared" si="1"/>
        <v>Mellott</v>
      </c>
      <c r="F127" s="28" t="str">
        <f t="shared" si="2"/>
        <v>Monte Mellott</v>
      </c>
      <c r="G127" s="27" t="s">
        <v>210</v>
      </c>
      <c r="H127" s="27" t="str">
        <f t="shared" si="3"/>
        <v>Male</v>
      </c>
      <c r="I127" s="27" t="s">
        <v>1093</v>
      </c>
      <c r="J127" s="27" t="s">
        <v>1094</v>
      </c>
      <c r="K127" s="27" t="s">
        <v>256</v>
      </c>
      <c r="L127" s="27">
        <v>76854</v>
      </c>
      <c r="M127" s="28" t="str">
        <f t="shared" si="4"/>
        <v>1756 Seth Street, London, TX, 76854</v>
      </c>
      <c r="N127" s="27" t="s">
        <v>1095</v>
      </c>
      <c r="O127" s="27" t="s">
        <v>1096</v>
      </c>
      <c r="P127" s="28">
        <v>325</v>
      </c>
      <c r="Q127" s="28">
        <v>475</v>
      </c>
      <c r="R127" s="28">
        <v>8182</v>
      </c>
      <c r="S127" s="29" t="s">
        <v>1097</v>
      </c>
      <c r="T127" s="28">
        <v>5240</v>
      </c>
    </row>
    <row r="128" spans="1:20" ht="14.25" customHeight="1">
      <c r="A128" s="27" t="s">
        <v>1098</v>
      </c>
      <c r="B128" s="28" t="str">
        <f t="shared" si="0"/>
        <v>Leighann</v>
      </c>
      <c r="C128" s="27" t="s">
        <v>198</v>
      </c>
      <c r="D128" s="27" t="s">
        <v>1099</v>
      </c>
      <c r="E128" s="28" t="str">
        <f t="shared" si="1"/>
        <v>Mccorkle</v>
      </c>
      <c r="F128" s="28" t="str">
        <f t="shared" si="2"/>
        <v>Leighann Mccorkle</v>
      </c>
      <c r="G128" s="27" t="s">
        <v>200</v>
      </c>
      <c r="H128" s="27" t="str">
        <f t="shared" si="3"/>
        <v>Female</v>
      </c>
      <c r="I128" s="27" t="s">
        <v>1100</v>
      </c>
      <c r="J128" s="27" t="s">
        <v>1101</v>
      </c>
      <c r="K128" s="27" t="s">
        <v>213</v>
      </c>
      <c r="L128" s="27">
        <v>92705</v>
      </c>
      <c r="M128" s="28" t="str">
        <f t="shared" si="4"/>
        <v>3840 Zimmerman Lane, Santa Ana, CA, 92705</v>
      </c>
      <c r="N128" s="27" t="s">
        <v>1102</v>
      </c>
      <c r="O128" s="27" t="s">
        <v>1103</v>
      </c>
      <c r="P128" s="28">
        <v>213</v>
      </c>
      <c r="Q128" s="28">
        <v>471</v>
      </c>
      <c r="R128" s="28">
        <v>6747</v>
      </c>
      <c r="S128" s="29" t="s">
        <v>1104</v>
      </c>
      <c r="T128" s="28">
        <v>254</v>
      </c>
    </row>
    <row r="129" spans="1:20" ht="14.25" customHeight="1">
      <c r="A129" s="27" t="s">
        <v>1105</v>
      </c>
      <c r="B129" s="28" t="str">
        <f t="shared" si="0"/>
        <v>Lester</v>
      </c>
      <c r="C129" s="27" t="s">
        <v>198</v>
      </c>
      <c r="D129" s="27" t="s">
        <v>1106</v>
      </c>
      <c r="E129" s="28" t="str">
        <f t="shared" si="1"/>
        <v>Baer</v>
      </c>
      <c r="F129" s="28" t="str">
        <f t="shared" si="2"/>
        <v>Lester Baer</v>
      </c>
      <c r="G129" s="27" t="s">
        <v>210</v>
      </c>
      <c r="H129" s="27" t="str">
        <f t="shared" si="3"/>
        <v>Male</v>
      </c>
      <c r="I129" s="27" t="s">
        <v>1107</v>
      </c>
      <c r="J129" s="27" t="s">
        <v>1108</v>
      </c>
      <c r="K129" s="27" t="s">
        <v>385</v>
      </c>
      <c r="L129" s="27">
        <v>84321</v>
      </c>
      <c r="M129" s="28" t="str">
        <f t="shared" si="4"/>
        <v>1239 Lang Avenue, Logan, UT, 84321</v>
      </c>
      <c r="N129" s="27" t="s">
        <v>1109</v>
      </c>
      <c r="O129" s="27" t="s">
        <v>1110</v>
      </c>
      <c r="P129" s="28">
        <v>435</v>
      </c>
      <c r="Q129" s="28">
        <v>757</v>
      </c>
      <c r="R129" s="28">
        <v>3720</v>
      </c>
      <c r="S129" s="29" t="s">
        <v>1111</v>
      </c>
      <c r="T129" s="28">
        <v>9569</v>
      </c>
    </row>
    <row r="130" spans="1:20" ht="14.25" customHeight="1">
      <c r="A130" s="27" t="s">
        <v>1112</v>
      </c>
      <c r="B130" s="28" t="str">
        <f t="shared" si="0"/>
        <v>Shani</v>
      </c>
      <c r="C130" s="27" t="s">
        <v>226</v>
      </c>
      <c r="D130" s="27" t="s">
        <v>586</v>
      </c>
      <c r="E130" s="28" t="str">
        <f t="shared" si="1"/>
        <v>Hamilton</v>
      </c>
      <c r="F130" s="28" t="str">
        <f t="shared" si="2"/>
        <v>Shani Hamilton</v>
      </c>
      <c r="G130" s="27" t="s">
        <v>200</v>
      </c>
      <c r="H130" s="27" t="str">
        <f t="shared" si="3"/>
        <v>Female</v>
      </c>
      <c r="I130" s="27" t="s">
        <v>1113</v>
      </c>
      <c r="J130" s="27" t="s">
        <v>1114</v>
      </c>
      <c r="K130" s="27" t="s">
        <v>1039</v>
      </c>
      <c r="L130" s="27">
        <v>98626</v>
      </c>
      <c r="M130" s="28" t="str">
        <f t="shared" si="4"/>
        <v>4856 Pinnickinick Street, Kelso, WA, 98626</v>
      </c>
      <c r="N130" s="27" t="s">
        <v>1115</v>
      </c>
      <c r="O130" s="27" t="s">
        <v>1116</v>
      </c>
      <c r="P130" s="28">
        <v>360</v>
      </c>
      <c r="Q130" s="28">
        <v>749</v>
      </c>
      <c r="R130" s="28">
        <v>8772</v>
      </c>
      <c r="S130" s="29" t="s">
        <v>1117</v>
      </c>
      <c r="T130" s="28">
        <v>3666</v>
      </c>
    </row>
    <row r="131" spans="1:20" ht="14.25" customHeight="1">
      <c r="A131" s="27" t="s">
        <v>1118</v>
      </c>
      <c r="B131" s="28" t="str">
        <f t="shared" si="0"/>
        <v>Leroy</v>
      </c>
      <c r="C131" s="27" t="s">
        <v>300</v>
      </c>
      <c r="D131" s="27" t="s">
        <v>1119</v>
      </c>
      <c r="E131" s="28" t="str">
        <f t="shared" si="1"/>
        <v>Carroll</v>
      </c>
      <c r="F131" s="28" t="str">
        <f t="shared" si="2"/>
        <v>Leroy Carroll</v>
      </c>
      <c r="G131" s="27" t="s">
        <v>210</v>
      </c>
      <c r="H131" s="27" t="str">
        <f t="shared" si="3"/>
        <v>Male</v>
      </c>
      <c r="I131" s="27" t="s">
        <v>1120</v>
      </c>
      <c r="J131" s="27" t="s">
        <v>1121</v>
      </c>
      <c r="K131" s="27" t="s">
        <v>469</v>
      </c>
      <c r="L131" s="27">
        <v>45202</v>
      </c>
      <c r="M131" s="28" t="str">
        <f t="shared" si="4"/>
        <v>269 Rogers Street, Cincinnati, OH, 45202</v>
      </c>
      <c r="N131" s="27" t="s">
        <v>1122</v>
      </c>
      <c r="O131" s="27" t="s">
        <v>1123</v>
      </c>
      <c r="P131" s="28">
        <v>513</v>
      </c>
      <c r="Q131" s="28">
        <v>579</v>
      </c>
      <c r="R131" s="28">
        <v>4638</v>
      </c>
      <c r="S131" s="29" t="s">
        <v>1124</v>
      </c>
      <c r="T131" s="28">
        <v>165</v>
      </c>
    </row>
    <row r="132" spans="1:20" ht="14.25" customHeight="1">
      <c r="A132" s="27" t="s">
        <v>1125</v>
      </c>
      <c r="B132" s="28" t="str">
        <f t="shared" si="0"/>
        <v>Teresa</v>
      </c>
      <c r="C132" s="27" t="s">
        <v>381</v>
      </c>
      <c r="D132" s="27" t="s">
        <v>1126</v>
      </c>
      <c r="E132" s="28" t="str">
        <f t="shared" si="1"/>
        <v>Battin</v>
      </c>
      <c r="F132" s="28" t="str">
        <f t="shared" si="2"/>
        <v>Teresa Battin</v>
      </c>
      <c r="G132" s="27" t="s">
        <v>200</v>
      </c>
      <c r="H132" s="27" t="str">
        <f t="shared" si="3"/>
        <v>Female</v>
      </c>
      <c r="I132" s="27" t="s">
        <v>1127</v>
      </c>
      <c r="J132" s="27" t="s">
        <v>432</v>
      </c>
      <c r="K132" s="27" t="s">
        <v>581</v>
      </c>
      <c r="L132" s="27">
        <v>21601</v>
      </c>
      <c r="M132" s="28" t="str">
        <f t="shared" si="4"/>
        <v>702 Woodhill Avenue, Easton, MD, 21601</v>
      </c>
      <c r="N132" s="27" t="s">
        <v>1128</v>
      </c>
      <c r="O132" s="27" t="s">
        <v>1129</v>
      </c>
      <c r="P132" s="28">
        <v>410</v>
      </c>
      <c r="Q132" s="28">
        <v>820</v>
      </c>
      <c r="R132" s="28">
        <v>1785</v>
      </c>
      <c r="S132" s="29" t="s">
        <v>1130</v>
      </c>
      <c r="T132" s="28">
        <v>541</v>
      </c>
    </row>
    <row r="133" spans="1:20" ht="14.25" customHeight="1">
      <c r="A133" s="27" t="s">
        <v>1131</v>
      </c>
      <c r="B133" s="28" t="str">
        <f t="shared" si="0"/>
        <v>Gregory</v>
      </c>
      <c r="C133" s="27" t="s">
        <v>438</v>
      </c>
      <c r="D133" s="27" t="s">
        <v>763</v>
      </c>
      <c r="E133" s="28" t="str">
        <f t="shared" si="1"/>
        <v>Moore</v>
      </c>
      <c r="F133" s="28" t="str">
        <f t="shared" si="2"/>
        <v>Gregory Moore</v>
      </c>
      <c r="G133" s="27" t="s">
        <v>210</v>
      </c>
      <c r="H133" s="27" t="str">
        <f t="shared" si="3"/>
        <v>Male</v>
      </c>
      <c r="I133" s="27" t="s">
        <v>1132</v>
      </c>
      <c r="J133" s="27" t="s">
        <v>1133</v>
      </c>
      <c r="K133" s="27" t="s">
        <v>368</v>
      </c>
      <c r="L133" s="27">
        <v>33301</v>
      </c>
      <c r="M133" s="28" t="str">
        <f t="shared" si="4"/>
        <v>856 Everette Alley, Fort Lauderdale, FL, 33301</v>
      </c>
      <c r="N133" s="27" t="s">
        <v>1134</v>
      </c>
      <c r="O133" s="27" t="s">
        <v>1135</v>
      </c>
      <c r="P133" s="28">
        <v>954</v>
      </c>
      <c r="Q133" s="28">
        <v>762</v>
      </c>
      <c r="R133" s="28">
        <v>9105</v>
      </c>
      <c r="S133" s="29" t="s">
        <v>1136</v>
      </c>
      <c r="T133" s="28">
        <v>36</v>
      </c>
    </row>
    <row r="134" spans="1:20" ht="14.25" customHeight="1">
      <c r="A134" s="27" t="s">
        <v>1137</v>
      </c>
      <c r="B134" s="28" t="str">
        <f t="shared" si="0"/>
        <v>Faith</v>
      </c>
      <c r="C134" s="27" t="s">
        <v>198</v>
      </c>
      <c r="D134" s="27" t="s">
        <v>1138</v>
      </c>
      <c r="E134" s="28" t="str">
        <f t="shared" si="1"/>
        <v>Hagans</v>
      </c>
      <c r="F134" s="28" t="str">
        <f t="shared" si="2"/>
        <v>Faith Hagans</v>
      </c>
      <c r="G134" s="27" t="s">
        <v>200</v>
      </c>
      <c r="H134" s="27" t="str">
        <f t="shared" si="3"/>
        <v>Female</v>
      </c>
      <c r="I134" s="27" t="s">
        <v>1139</v>
      </c>
      <c r="J134" s="27" t="s">
        <v>1140</v>
      </c>
      <c r="K134" s="27" t="s">
        <v>727</v>
      </c>
      <c r="L134" s="27">
        <v>50703</v>
      </c>
      <c r="M134" s="28" t="str">
        <f t="shared" si="4"/>
        <v>1491 Tecumsah Lane, Waterloo, IA, 50703</v>
      </c>
      <c r="N134" s="27" t="s">
        <v>1141</v>
      </c>
      <c r="O134" s="27" t="s">
        <v>1142</v>
      </c>
      <c r="P134" s="28">
        <v>319</v>
      </c>
      <c r="Q134" s="28">
        <v>236</v>
      </c>
      <c r="R134" s="28">
        <v>382</v>
      </c>
      <c r="S134" s="29" t="s">
        <v>1143</v>
      </c>
      <c r="T134" s="28">
        <v>511</v>
      </c>
    </row>
    <row r="135" spans="1:20" ht="14.25" customHeight="1">
      <c r="A135" s="27" t="s">
        <v>822</v>
      </c>
      <c r="B135" s="28" t="str">
        <f t="shared" si="0"/>
        <v>Michael</v>
      </c>
      <c r="C135" s="27" t="s">
        <v>381</v>
      </c>
      <c r="D135" s="27" t="s">
        <v>1144</v>
      </c>
      <c r="E135" s="28" t="str">
        <f t="shared" si="1"/>
        <v>Logsdon</v>
      </c>
      <c r="F135" s="28" t="str">
        <f t="shared" si="2"/>
        <v>Michael Logsdon</v>
      </c>
      <c r="G135" s="27" t="s">
        <v>210</v>
      </c>
      <c r="H135" s="27" t="str">
        <f t="shared" si="3"/>
        <v>Male</v>
      </c>
      <c r="I135" s="27" t="s">
        <v>1145</v>
      </c>
      <c r="J135" s="27" t="s">
        <v>400</v>
      </c>
      <c r="K135" s="27" t="s">
        <v>213</v>
      </c>
      <c r="L135" s="27">
        <v>90066</v>
      </c>
      <c r="M135" s="28" t="str">
        <f t="shared" si="4"/>
        <v>3225 Libby Street, Los Angeles, CA, 90066</v>
      </c>
      <c r="N135" s="27" t="s">
        <v>1146</v>
      </c>
      <c r="O135" s="27" t="s">
        <v>1147</v>
      </c>
      <c r="P135" s="28">
        <v>310</v>
      </c>
      <c r="Q135" s="28">
        <v>313</v>
      </c>
      <c r="R135" s="28">
        <v>9536</v>
      </c>
      <c r="S135" s="29" t="s">
        <v>1148</v>
      </c>
      <c r="T135" s="28">
        <v>549</v>
      </c>
    </row>
    <row r="136" spans="1:20" ht="14.25" customHeight="1">
      <c r="A136" s="27" t="s">
        <v>503</v>
      </c>
      <c r="B136" s="28" t="str">
        <f t="shared" si="0"/>
        <v>Anthony</v>
      </c>
      <c r="C136" s="27" t="s">
        <v>235</v>
      </c>
      <c r="D136" s="27" t="s">
        <v>1149</v>
      </c>
      <c r="E136" s="28" t="str">
        <f t="shared" si="1"/>
        <v>Chavez</v>
      </c>
      <c r="F136" s="28" t="str">
        <f t="shared" si="2"/>
        <v>Anthony Chavez</v>
      </c>
      <c r="G136" s="27" t="s">
        <v>210</v>
      </c>
      <c r="H136" s="27" t="str">
        <f t="shared" si="3"/>
        <v>Male</v>
      </c>
      <c r="I136" s="27" t="s">
        <v>1150</v>
      </c>
      <c r="J136" s="27" t="s">
        <v>1151</v>
      </c>
      <c r="K136" s="27" t="s">
        <v>203</v>
      </c>
      <c r="L136" s="27">
        <v>60005</v>
      </c>
      <c r="M136" s="28" t="str">
        <f t="shared" si="4"/>
        <v>4494 Flinderation Road, Arlington Heights, IL, 60005</v>
      </c>
      <c r="N136" s="27" t="s">
        <v>1152</v>
      </c>
      <c r="O136" s="27" t="s">
        <v>1153</v>
      </c>
      <c r="P136" s="28">
        <v>708</v>
      </c>
      <c r="Q136" s="28">
        <v>398</v>
      </c>
      <c r="R136" s="28">
        <v>9663</v>
      </c>
      <c r="S136" s="29" t="s">
        <v>1154</v>
      </c>
      <c r="T136" s="28">
        <v>165</v>
      </c>
    </row>
    <row r="137" spans="1:20" ht="14.25" customHeight="1">
      <c r="A137" s="27" t="s">
        <v>1155</v>
      </c>
      <c r="B137" s="28" t="str">
        <f t="shared" si="0"/>
        <v>Amanda</v>
      </c>
      <c r="C137" s="27" t="s">
        <v>350</v>
      </c>
      <c r="D137" s="27" t="s">
        <v>1156</v>
      </c>
      <c r="E137" s="28" t="str">
        <f t="shared" si="1"/>
        <v>Milano</v>
      </c>
      <c r="F137" s="28" t="str">
        <f t="shared" si="2"/>
        <v>Amanda Milano</v>
      </c>
      <c r="G137" s="27" t="s">
        <v>200</v>
      </c>
      <c r="H137" s="27" t="str">
        <f t="shared" si="3"/>
        <v>Female</v>
      </c>
      <c r="I137" s="27" t="s">
        <v>1157</v>
      </c>
      <c r="J137" s="27" t="s">
        <v>255</v>
      </c>
      <c r="K137" s="27" t="s">
        <v>256</v>
      </c>
      <c r="L137" s="27">
        <v>78741</v>
      </c>
      <c r="M137" s="28" t="str">
        <f t="shared" si="4"/>
        <v>3070 Bubby Drive, Austin, TX, 78741</v>
      </c>
      <c r="N137" s="27" t="s">
        <v>1158</v>
      </c>
      <c r="O137" s="27" t="s">
        <v>1159</v>
      </c>
      <c r="P137" s="28">
        <v>512</v>
      </c>
      <c r="Q137" s="28">
        <v>439</v>
      </c>
      <c r="R137" s="28">
        <v>332</v>
      </c>
      <c r="S137" s="29" t="s">
        <v>1160</v>
      </c>
      <c r="T137" s="28">
        <v>157</v>
      </c>
    </row>
    <row r="138" spans="1:20" ht="14.25" customHeight="1">
      <c r="A138" s="27" t="s">
        <v>1161</v>
      </c>
      <c r="B138" s="28" t="str">
        <f t="shared" si="0"/>
        <v>Shayna</v>
      </c>
      <c r="C138" s="27" t="s">
        <v>334</v>
      </c>
      <c r="D138" s="27" t="s">
        <v>1162</v>
      </c>
      <c r="E138" s="28" t="str">
        <f t="shared" si="1"/>
        <v>German</v>
      </c>
      <c r="F138" s="28" t="str">
        <f t="shared" si="2"/>
        <v>Shayna German</v>
      </c>
      <c r="G138" s="27" t="s">
        <v>200</v>
      </c>
      <c r="H138" s="27" t="str">
        <f t="shared" si="3"/>
        <v>Female</v>
      </c>
      <c r="I138" s="27" t="s">
        <v>1163</v>
      </c>
      <c r="J138" s="27" t="s">
        <v>1164</v>
      </c>
      <c r="K138" s="27" t="s">
        <v>321</v>
      </c>
      <c r="L138" s="27">
        <v>53703</v>
      </c>
      <c r="M138" s="28" t="str">
        <f t="shared" si="4"/>
        <v>854 Primrose Lane, Madison, WI, 53703</v>
      </c>
      <c r="N138" s="27" t="s">
        <v>1165</v>
      </c>
      <c r="O138" s="27" t="s">
        <v>1166</v>
      </c>
      <c r="P138" s="28">
        <v>608</v>
      </c>
      <c r="Q138" s="28">
        <v>646</v>
      </c>
      <c r="R138" s="28">
        <v>8991</v>
      </c>
      <c r="S138" s="29" t="s">
        <v>1167</v>
      </c>
      <c r="T138" s="28">
        <v>993</v>
      </c>
    </row>
    <row r="139" spans="1:20" ht="14.25" customHeight="1">
      <c r="A139" s="27" t="s">
        <v>308</v>
      </c>
      <c r="B139" s="28" t="str">
        <f t="shared" si="0"/>
        <v>Barbara</v>
      </c>
      <c r="C139" s="27" t="s">
        <v>300</v>
      </c>
      <c r="D139" s="27" t="s">
        <v>1168</v>
      </c>
      <c r="E139" s="28" t="str">
        <f t="shared" si="1"/>
        <v>Hansen</v>
      </c>
      <c r="F139" s="28" t="str">
        <f t="shared" si="2"/>
        <v>Barbara Hansen</v>
      </c>
      <c r="G139" s="27" t="s">
        <v>200</v>
      </c>
      <c r="H139" s="27" t="str">
        <f t="shared" si="3"/>
        <v>Female</v>
      </c>
      <c r="I139" s="27" t="s">
        <v>1169</v>
      </c>
      <c r="J139" s="27" t="s">
        <v>483</v>
      </c>
      <c r="K139" s="27" t="s">
        <v>368</v>
      </c>
      <c r="L139" s="27">
        <v>33901</v>
      </c>
      <c r="M139" s="28" t="str">
        <f t="shared" si="4"/>
        <v>3561 Sunburst Drive, Fort Myers, FL, 33901</v>
      </c>
      <c r="N139" s="27" t="s">
        <v>1170</v>
      </c>
      <c r="O139" s="27" t="s">
        <v>1171</v>
      </c>
      <c r="P139" s="28">
        <v>239</v>
      </c>
      <c r="Q139" s="28">
        <v>331</v>
      </c>
      <c r="R139" s="28">
        <v>9668</v>
      </c>
      <c r="S139" s="29" t="s">
        <v>1172</v>
      </c>
      <c r="T139" s="28">
        <v>4117</v>
      </c>
    </row>
    <row r="140" spans="1:20" ht="14.25" customHeight="1">
      <c r="A140" s="27" t="s">
        <v>1010</v>
      </c>
      <c r="B140" s="28" t="str">
        <f t="shared" si="0"/>
        <v>Kenneth</v>
      </c>
      <c r="C140" s="27" t="s">
        <v>438</v>
      </c>
      <c r="D140" s="27" t="s">
        <v>1173</v>
      </c>
      <c r="E140" s="28" t="str">
        <f t="shared" si="1"/>
        <v>Kirby</v>
      </c>
      <c r="F140" s="28" t="str">
        <f t="shared" si="2"/>
        <v>Kenneth Kirby</v>
      </c>
      <c r="G140" s="27" t="s">
        <v>210</v>
      </c>
      <c r="H140" s="27" t="str">
        <f t="shared" si="3"/>
        <v>Male</v>
      </c>
      <c r="I140" s="27" t="s">
        <v>1174</v>
      </c>
      <c r="J140" s="27" t="s">
        <v>1005</v>
      </c>
      <c r="K140" s="27" t="s">
        <v>491</v>
      </c>
      <c r="L140" s="27">
        <v>55401</v>
      </c>
      <c r="M140" s="28" t="str">
        <f t="shared" si="4"/>
        <v>4459 B Street, Minneapolis, MN, 55401</v>
      </c>
      <c r="N140" s="27" t="s">
        <v>1175</v>
      </c>
      <c r="O140" s="27" t="s">
        <v>1176</v>
      </c>
      <c r="P140" s="28">
        <v>651</v>
      </c>
      <c r="Q140" s="28">
        <v>691</v>
      </c>
      <c r="R140" s="28">
        <v>3565</v>
      </c>
      <c r="S140" s="29" t="s">
        <v>1177</v>
      </c>
      <c r="T140" s="28">
        <v>778</v>
      </c>
    </row>
    <row r="141" spans="1:20" ht="14.25" customHeight="1">
      <c r="A141" s="27" t="s">
        <v>357</v>
      </c>
      <c r="B141" s="28" t="str">
        <f t="shared" si="0"/>
        <v>James</v>
      </c>
      <c r="C141" s="27" t="s">
        <v>511</v>
      </c>
      <c r="D141" s="27" t="s">
        <v>1178</v>
      </c>
      <c r="E141" s="28" t="str">
        <f t="shared" si="1"/>
        <v>Pettigrew</v>
      </c>
      <c r="F141" s="28" t="str">
        <f t="shared" si="2"/>
        <v>James Pettigrew</v>
      </c>
      <c r="G141" s="27" t="s">
        <v>210</v>
      </c>
      <c r="H141" s="27" t="str">
        <f t="shared" si="3"/>
        <v>Male</v>
      </c>
      <c r="I141" s="27" t="s">
        <v>1179</v>
      </c>
      <c r="J141" s="27" t="s">
        <v>1180</v>
      </c>
      <c r="K141" s="27" t="s">
        <v>1039</v>
      </c>
      <c r="L141" s="27">
        <v>98168</v>
      </c>
      <c r="M141" s="28" t="str">
        <f t="shared" si="4"/>
        <v>2694 Owagner Lane, Burien, WA, 98168</v>
      </c>
      <c r="N141" s="27" t="s">
        <v>1181</v>
      </c>
      <c r="O141" s="27" t="s">
        <v>1182</v>
      </c>
      <c r="P141" s="28">
        <v>206</v>
      </c>
      <c r="Q141" s="28">
        <v>244</v>
      </c>
      <c r="R141" s="28">
        <v>9336</v>
      </c>
      <c r="S141" s="29" t="s">
        <v>1183</v>
      </c>
      <c r="T141" s="28">
        <v>718</v>
      </c>
    </row>
    <row r="142" spans="1:20" ht="14.25" customHeight="1">
      <c r="A142" s="27" t="s">
        <v>1184</v>
      </c>
      <c r="B142" s="28" t="str">
        <f t="shared" si="0"/>
        <v>Roger</v>
      </c>
      <c r="C142" s="27" t="s">
        <v>226</v>
      </c>
      <c r="D142" s="27" t="s">
        <v>1185</v>
      </c>
      <c r="E142" s="28" t="str">
        <f t="shared" si="1"/>
        <v>Green</v>
      </c>
      <c r="F142" s="28" t="str">
        <f t="shared" si="2"/>
        <v>Roger Green</v>
      </c>
      <c r="G142" s="27" t="s">
        <v>210</v>
      </c>
      <c r="H142" s="27" t="str">
        <f t="shared" si="3"/>
        <v>Male</v>
      </c>
      <c r="I142" s="27" t="s">
        <v>1186</v>
      </c>
      <c r="J142" s="27" t="s">
        <v>1187</v>
      </c>
      <c r="K142" s="27" t="s">
        <v>1188</v>
      </c>
      <c r="L142" s="27">
        <v>29059</v>
      </c>
      <c r="M142" s="28" t="str">
        <f t="shared" si="4"/>
        <v>3689 Still Pastures Drive, Holly Hill, SC, 29059</v>
      </c>
      <c r="N142" s="27" t="s">
        <v>1189</v>
      </c>
      <c r="O142" s="27" t="s">
        <v>1190</v>
      </c>
      <c r="P142" s="28">
        <v>803</v>
      </c>
      <c r="Q142" s="28">
        <v>496</v>
      </c>
      <c r="R142" s="28">
        <v>2792</v>
      </c>
      <c r="S142" s="29" t="s">
        <v>1191</v>
      </c>
      <c r="T142" s="28">
        <v>875</v>
      </c>
    </row>
    <row r="143" spans="1:20" ht="14.25" customHeight="1">
      <c r="A143" s="27" t="s">
        <v>243</v>
      </c>
      <c r="B143" s="28" t="str">
        <f t="shared" si="0"/>
        <v>Joseph</v>
      </c>
      <c r="C143" s="27" t="s">
        <v>350</v>
      </c>
      <c r="D143" s="27" t="s">
        <v>1192</v>
      </c>
      <c r="E143" s="28" t="str">
        <f t="shared" si="1"/>
        <v>Roberts</v>
      </c>
      <c r="F143" s="28" t="str">
        <f t="shared" si="2"/>
        <v>Joseph Roberts</v>
      </c>
      <c r="G143" s="27" t="s">
        <v>210</v>
      </c>
      <c r="H143" s="27" t="str">
        <f t="shared" si="3"/>
        <v>Male</v>
      </c>
      <c r="I143" s="27" t="s">
        <v>1193</v>
      </c>
      <c r="J143" s="27" t="s">
        <v>1194</v>
      </c>
      <c r="K143" s="27" t="s">
        <v>272</v>
      </c>
      <c r="L143" s="27">
        <v>14006</v>
      </c>
      <c r="M143" s="28" t="str">
        <f t="shared" si="4"/>
        <v>87 Nuzum Court, Angola, NY, 14006</v>
      </c>
      <c r="N143" s="27" t="s">
        <v>1195</v>
      </c>
      <c r="O143" s="27" t="s">
        <v>1196</v>
      </c>
      <c r="P143" s="28">
        <v>716</v>
      </c>
      <c r="Q143" s="28">
        <v>549</v>
      </c>
      <c r="R143" s="28">
        <v>1195</v>
      </c>
      <c r="S143" s="29" t="s">
        <v>1197</v>
      </c>
      <c r="T143" s="28">
        <v>9995</v>
      </c>
    </row>
    <row r="144" spans="1:20" ht="14.25" customHeight="1">
      <c r="A144" s="27" t="s">
        <v>1198</v>
      </c>
      <c r="B144" s="28" t="str">
        <f t="shared" si="0"/>
        <v>Heidi</v>
      </c>
      <c r="C144" s="27" t="s">
        <v>533</v>
      </c>
      <c r="D144" s="27" t="s">
        <v>1199</v>
      </c>
      <c r="E144" s="28" t="str">
        <f t="shared" si="1"/>
        <v>Sinquefield</v>
      </c>
      <c r="F144" s="28" t="str">
        <f t="shared" si="2"/>
        <v>Heidi Sinquefield</v>
      </c>
      <c r="G144" s="27" t="s">
        <v>200</v>
      </c>
      <c r="H144" s="27" t="str">
        <f t="shared" si="3"/>
        <v>Female</v>
      </c>
      <c r="I144" s="27" t="s">
        <v>1200</v>
      </c>
      <c r="J144" s="27" t="s">
        <v>1201</v>
      </c>
      <c r="K144" s="27" t="s">
        <v>537</v>
      </c>
      <c r="L144" s="27">
        <v>85701</v>
      </c>
      <c r="M144" s="28" t="str">
        <f t="shared" si="4"/>
        <v>4929 Elk Rd Little, Tucson, AZ, 85701</v>
      </c>
      <c r="N144" s="27" t="s">
        <v>1202</v>
      </c>
      <c r="O144" s="27" t="s">
        <v>1203</v>
      </c>
      <c r="P144" s="28">
        <v>520</v>
      </c>
      <c r="Q144" s="28">
        <v>226</v>
      </c>
      <c r="R144" s="28">
        <v>6462</v>
      </c>
      <c r="S144" s="29" t="s">
        <v>1204</v>
      </c>
      <c r="T144" s="28">
        <v>1580</v>
      </c>
    </row>
    <row r="145" spans="1:20" ht="14.25" customHeight="1">
      <c r="A145" s="27" t="s">
        <v>1205</v>
      </c>
      <c r="B145" s="28" t="str">
        <f t="shared" si="0"/>
        <v>Sam</v>
      </c>
      <c r="C145" s="27" t="s">
        <v>252</v>
      </c>
      <c r="D145" s="27" t="s">
        <v>1206</v>
      </c>
      <c r="E145" s="28" t="str">
        <f t="shared" si="1"/>
        <v>Hughes</v>
      </c>
      <c r="F145" s="28" t="str">
        <f t="shared" si="2"/>
        <v>Sam Hughes</v>
      </c>
      <c r="G145" s="27" t="s">
        <v>210</v>
      </c>
      <c r="H145" s="27" t="str">
        <f t="shared" si="3"/>
        <v>Male</v>
      </c>
      <c r="I145" s="27" t="s">
        <v>1207</v>
      </c>
      <c r="J145" s="27" t="s">
        <v>1208</v>
      </c>
      <c r="K145" s="27" t="s">
        <v>1188</v>
      </c>
      <c r="L145" s="27">
        <v>29706</v>
      </c>
      <c r="M145" s="28" t="str">
        <f t="shared" si="4"/>
        <v>1097 Still Pastures Drive, Chester, SC, 29706</v>
      </c>
      <c r="N145" s="27" t="s">
        <v>1209</v>
      </c>
      <c r="O145" s="27" t="s">
        <v>1210</v>
      </c>
      <c r="P145" s="28">
        <v>803</v>
      </c>
      <c r="Q145" s="28">
        <v>377</v>
      </c>
      <c r="R145" s="28">
        <v>7264</v>
      </c>
      <c r="S145" s="29" t="s">
        <v>1211</v>
      </c>
      <c r="T145" s="28">
        <v>1384</v>
      </c>
    </row>
    <row r="146" spans="1:20" ht="14.25" customHeight="1">
      <c r="A146" s="27" t="s">
        <v>1212</v>
      </c>
      <c r="B146" s="28" t="str">
        <f t="shared" si="0"/>
        <v>Milton</v>
      </c>
      <c r="C146" s="27" t="s">
        <v>465</v>
      </c>
      <c r="D146" s="27" t="s">
        <v>578</v>
      </c>
      <c r="E146" s="28" t="str">
        <f t="shared" si="1"/>
        <v>Brown</v>
      </c>
      <c r="F146" s="28" t="str">
        <f t="shared" si="2"/>
        <v>Milton Brown</v>
      </c>
      <c r="G146" s="27" t="s">
        <v>210</v>
      </c>
      <c r="H146" s="27" t="str">
        <f t="shared" si="3"/>
        <v>Male</v>
      </c>
      <c r="I146" s="27" t="s">
        <v>1213</v>
      </c>
      <c r="J146" s="27" t="s">
        <v>1214</v>
      </c>
      <c r="K146" s="27" t="s">
        <v>515</v>
      </c>
      <c r="L146" s="27">
        <v>62220</v>
      </c>
      <c r="M146" s="28" t="str">
        <f t="shared" si="4"/>
        <v>4245 Irving Place, Belleville, MO, 62220</v>
      </c>
      <c r="N146" s="27" t="s">
        <v>1215</v>
      </c>
      <c r="O146" s="27" t="s">
        <v>1216</v>
      </c>
      <c r="P146" s="28">
        <v>636</v>
      </c>
      <c r="Q146" s="28">
        <v>323</v>
      </c>
      <c r="R146" s="28">
        <v>3267</v>
      </c>
      <c r="S146" s="29" t="s">
        <v>1217</v>
      </c>
      <c r="T146" s="28">
        <v>502</v>
      </c>
    </row>
    <row r="147" spans="1:20" ht="14.25" customHeight="1">
      <c r="A147" s="27" t="s">
        <v>1218</v>
      </c>
      <c r="B147" s="28" t="str">
        <f t="shared" si="0"/>
        <v>Audrey</v>
      </c>
      <c r="C147" s="27" t="s">
        <v>226</v>
      </c>
      <c r="D147" s="27" t="s">
        <v>1212</v>
      </c>
      <c r="E147" s="28" t="str">
        <f t="shared" si="1"/>
        <v>Milton</v>
      </c>
      <c r="F147" s="28" t="str">
        <f t="shared" si="2"/>
        <v>Audrey Milton</v>
      </c>
      <c r="G147" s="27" t="s">
        <v>200</v>
      </c>
      <c r="H147" s="27" t="str">
        <f t="shared" si="3"/>
        <v>Female</v>
      </c>
      <c r="I147" s="27" t="s">
        <v>1219</v>
      </c>
      <c r="J147" s="27" t="s">
        <v>1220</v>
      </c>
      <c r="K147" s="27" t="s">
        <v>1039</v>
      </c>
      <c r="L147" s="27">
        <v>98402</v>
      </c>
      <c r="M147" s="28" t="str">
        <f t="shared" si="4"/>
        <v>3779 Dale Avenue, Tacoma, WA, 98402</v>
      </c>
      <c r="N147" s="27" t="s">
        <v>1221</v>
      </c>
      <c r="O147" s="27" t="s">
        <v>1222</v>
      </c>
      <c r="P147" s="28">
        <v>253</v>
      </c>
      <c r="Q147" s="28">
        <v>732</v>
      </c>
      <c r="R147" s="28">
        <v>8965</v>
      </c>
      <c r="S147" s="29" t="s">
        <v>1223</v>
      </c>
      <c r="T147" s="28">
        <v>441</v>
      </c>
    </row>
    <row r="148" spans="1:20" ht="14.25" customHeight="1">
      <c r="A148" s="27" t="s">
        <v>1224</v>
      </c>
      <c r="B148" s="28" t="str">
        <f t="shared" si="0"/>
        <v>Diana</v>
      </c>
      <c r="C148" s="27" t="s">
        <v>198</v>
      </c>
      <c r="D148" s="27" t="s">
        <v>1225</v>
      </c>
      <c r="E148" s="28" t="str">
        <f t="shared" si="1"/>
        <v>Hancock</v>
      </c>
      <c r="F148" s="28" t="str">
        <f t="shared" si="2"/>
        <v>Diana Hancock</v>
      </c>
      <c r="G148" s="27" t="s">
        <v>200</v>
      </c>
      <c r="H148" s="27" t="str">
        <f t="shared" si="3"/>
        <v>Female</v>
      </c>
      <c r="I148" s="27" t="s">
        <v>1226</v>
      </c>
      <c r="J148" s="27" t="s">
        <v>1227</v>
      </c>
      <c r="K148" s="27" t="s">
        <v>345</v>
      </c>
      <c r="L148" s="27">
        <v>38259</v>
      </c>
      <c r="M148" s="28" t="str">
        <f t="shared" si="4"/>
        <v>1173 Mapleview Drive, Trimble, TN, 38259</v>
      </c>
      <c r="N148" s="27" t="s">
        <v>1228</v>
      </c>
      <c r="O148" s="27" t="s">
        <v>1229</v>
      </c>
      <c r="P148" s="28">
        <v>731</v>
      </c>
      <c r="Q148" s="28">
        <v>297</v>
      </c>
      <c r="R148" s="28">
        <v>1255</v>
      </c>
      <c r="S148" s="29" t="s">
        <v>1230</v>
      </c>
      <c r="T148" s="28">
        <v>995</v>
      </c>
    </row>
    <row r="149" spans="1:20" ht="14.25" customHeight="1">
      <c r="A149" s="27" t="s">
        <v>1231</v>
      </c>
      <c r="B149" s="28" t="str">
        <f t="shared" si="0"/>
        <v>Carmella</v>
      </c>
      <c r="C149" s="27" t="s">
        <v>350</v>
      </c>
      <c r="D149" s="27" t="s">
        <v>1232</v>
      </c>
      <c r="E149" s="28" t="str">
        <f t="shared" si="1"/>
        <v>Mora</v>
      </c>
      <c r="F149" s="28" t="str">
        <f t="shared" si="2"/>
        <v>Carmella Mora</v>
      </c>
      <c r="G149" s="27" t="s">
        <v>200</v>
      </c>
      <c r="H149" s="27" t="str">
        <f t="shared" si="3"/>
        <v>Female</v>
      </c>
      <c r="I149" s="27" t="s">
        <v>1233</v>
      </c>
      <c r="J149" s="27" t="s">
        <v>1234</v>
      </c>
      <c r="K149" s="27" t="s">
        <v>256</v>
      </c>
      <c r="L149" s="27">
        <v>75040</v>
      </c>
      <c r="M149" s="28" t="str">
        <f t="shared" si="4"/>
        <v>2824 Wilson Avenue, Garland, TX, 75040</v>
      </c>
      <c r="N149" s="27" t="s">
        <v>1235</v>
      </c>
      <c r="O149" s="27" t="s">
        <v>1236</v>
      </c>
      <c r="P149" s="28">
        <v>972</v>
      </c>
      <c r="Q149" s="28">
        <v>485</v>
      </c>
      <c r="R149" s="28">
        <v>7316</v>
      </c>
      <c r="S149" s="29" t="s">
        <v>1237</v>
      </c>
      <c r="T149" s="28">
        <v>199</v>
      </c>
    </row>
    <row r="150" spans="1:20" ht="14.25" customHeight="1">
      <c r="A150" s="27" t="s">
        <v>1238</v>
      </c>
      <c r="B150" s="28" t="str">
        <f t="shared" si="0"/>
        <v>Allison</v>
      </c>
      <c r="C150" s="27" t="s">
        <v>1011</v>
      </c>
      <c r="D150" s="27" t="s">
        <v>1239</v>
      </c>
      <c r="E150" s="28" t="str">
        <f t="shared" si="1"/>
        <v>Patton</v>
      </c>
      <c r="F150" s="28" t="str">
        <f t="shared" si="2"/>
        <v>Allison Patton</v>
      </c>
      <c r="G150" s="27" t="s">
        <v>200</v>
      </c>
      <c r="H150" s="27" t="str">
        <f t="shared" si="3"/>
        <v>Female</v>
      </c>
      <c r="I150" s="27" t="s">
        <v>1240</v>
      </c>
      <c r="J150" s="27" t="s">
        <v>1241</v>
      </c>
      <c r="K150" s="27" t="s">
        <v>706</v>
      </c>
      <c r="L150" s="27">
        <v>15205</v>
      </c>
      <c r="M150" s="28" t="str">
        <f t="shared" si="4"/>
        <v>1879 Pine Street, Crafton, PA, 15205</v>
      </c>
      <c r="N150" s="27" t="s">
        <v>1242</v>
      </c>
      <c r="O150" s="27" t="s">
        <v>1243</v>
      </c>
      <c r="P150" s="28">
        <v>724</v>
      </c>
      <c r="Q150" s="28">
        <v>263</v>
      </c>
      <c r="R150" s="28">
        <v>7131</v>
      </c>
      <c r="S150" s="29" t="s">
        <v>1244</v>
      </c>
      <c r="T150" s="28">
        <v>797</v>
      </c>
    </row>
    <row r="151" spans="1:20" ht="14.25" customHeight="1">
      <c r="A151" s="27" t="s">
        <v>419</v>
      </c>
      <c r="B151" s="28" t="str">
        <f t="shared" si="0"/>
        <v>Robert</v>
      </c>
      <c r="C151" s="27" t="s">
        <v>208</v>
      </c>
      <c r="D151" s="27" t="s">
        <v>1245</v>
      </c>
      <c r="E151" s="28" t="str">
        <f t="shared" si="1"/>
        <v>Thurman</v>
      </c>
      <c r="F151" s="28" t="str">
        <f t="shared" si="2"/>
        <v>Robert Thurman</v>
      </c>
      <c r="G151" s="27" t="s">
        <v>210</v>
      </c>
      <c r="H151" s="27" t="str">
        <f t="shared" si="3"/>
        <v>Male</v>
      </c>
      <c r="I151" s="27" t="s">
        <v>1246</v>
      </c>
      <c r="J151" s="27" t="s">
        <v>1247</v>
      </c>
      <c r="K151" s="27" t="s">
        <v>329</v>
      </c>
      <c r="L151" s="27">
        <v>49548</v>
      </c>
      <c r="M151" s="28" t="str">
        <f t="shared" si="4"/>
        <v>2396 Howard Street, Wyoming, MI, 49548</v>
      </c>
      <c r="N151" s="27" t="s">
        <v>1248</v>
      </c>
      <c r="O151" s="27" t="s">
        <v>1249</v>
      </c>
      <c r="P151" s="28">
        <v>616</v>
      </c>
      <c r="Q151" s="28">
        <v>510</v>
      </c>
      <c r="R151" s="28">
        <v>1257</v>
      </c>
      <c r="S151" s="29" t="s">
        <v>1250</v>
      </c>
      <c r="T151" s="28">
        <v>485</v>
      </c>
    </row>
    <row r="152" spans="1:20" ht="14.25" customHeight="1">
      <c r="A152" s="27" t="s">
        <v>1251</v>
      </c>
      <c r="B152" s="28" t="str">
        <f t="shared" si="0"/>
        <v>Meredith</v>
      </c>
      <c r="C152" s="27" t="s">
        <v>198</v>
      </c>
      <c r="D152" s="27" t="s">
        <v>1252</v>
      </c>
      <c r="E152" s="28" t="str">
        <f t="shared" si="1"/>
        <v>Bailey</v>
      </c>
      <c r="F152" s="28" t="str">
        <f t="shared" si="2"/>
        <v>Meredith Bailey</v>
      </c>
      <c r="G152" s="27" t="s">
        <v>200</v>
      </c>
      <c r="H152" s="27" t="str">
        <f t="shared" si="3"/>
        <v>Female</v>
      </c>
      <c r="I152" s="27" t="s">
        <v>1253</v>
      </c>
      <c r="J152" s="27" t="s">
        <v>1254</v>
      </c>
      <c r="K152" s="27" t="s">
        <v>230</v>
      </c>
      <c r="L152" s="27">
        <v>24382</v>
      </c>
      <c r="M152" s="28" t="str">
        <f t="shared" si="4"/>
        <v>4273 Douglas Dairy Road, Wytheville, VA, 24382</v>
      </c>
      <c r="N152" s="27" t="s">
        <v>1255</v>
      </c>
      <c r="O152" s="27" t="s">
        <v>1256</v>
      </c>
      <c r="P152" s="28">
        <v>276</v>
      </c>
      <c r="Q152" s="28">
        <v>617</v>
      </c>
      <c r="R152" s="28">
        <v>4436</v>
      </c>
      <c r="S152" s="29" t="s">
        <v>1257</v>
      </c>
      <c r="T152" s="28">
        <v>678</v>
      </c>
    </row>
    <row r="153" spans="1:20" ht="14.25" customHeight="1">
      <c r="A153" s="27" t="s">
        <v>1258</v>
      </c>
      <c r="B153" s="28" t="str">
        <f t="shared" si="0"/>
        <v>Maria</v>
      </c>
      <c r="C153" s="27" t="s">
        <v>292</v>
      </c>
      <c r="D153" s="27" t="s">
        <v>1259</v>
      </c>
      <c r="E153" s="28" t="str">
        <f t="shared" si="1"/>
        <v>Neal</v>
      </c>
      <c r="F153" s="28" t="str">
        <f t="shared" si="2"/>
        <v>Maria Neal</v>
      </c>
      <c r="G153" s="27" t="s">
        <v>200</v>
      </c>
      <c r="H153" s="27" t="str">
        <f t="shared" si="3"/>
        <v>Female</v>
      </c>
      <c r="I153" s="27" t="s">
        <v>1260</v>
      </c>
      <c r="J153" s="27" t="s">
        <v>1261</v>
      </c>
      <c r="K153" s="27" t="s">
        <v>368</v>
      </c>
      <c r="L153" s="27">
        <v>32750</v>
      </c>
      <c r="M153" s="28" t="str">
        <f t="shared" si="4"/>
        <v>4040 McDonald Avenue, Longwood, FL, 32750</v>
      </c>
      <c r="N153" s="27" t="s">
        <v>1262</v>
      </c>
      <c r="O153" s="27" t="s">
        <v>1263</v>
      </c>
      <c r="P153" s="28">
        <v>407</v>
      </c>
      <c r="Q153" s="28">
        <v>832</v>
      </c>
      <c r="R153" s="28">
        <v>6664</v>
      </c>
      <c r="S153" s="29" t="s">
        <v>1264</v>
      </c>
      <c r="T153" s="28">
        <v>814</v>
      </c>
    </row>
    <row r="154" spans="1:20" ht="14.25" customHeight="1">
      <c r="A154" s="27" t="s">
        <v>1265</v>
      </c>
      <c r="B154" s="28" t="str">
        <f t="shared" si="0"/>
        <v>Pablo</v>
      </c>
      <c r="C154" s="27" t="s">
        <v>198</v>
      </c>
      <c r="D154" s="27" t="s">
        <v>1266</v>
      </c>
      <c r="E154" s="28" t="str">
        <f t="shared" si="1"/>
        <v>Breedlove</v>
      </c>
      <c r="F154" s="28" t="str">
        <f t="shared" si="2"/>
        <v>Pablo Breedlove</v>
      </c>
      <c r="G154" s="27" t="s">
        <v>210</v>
      </c>
      <c r="H154" s="27" t="str">
        <f t="shared" si="3"/>
        <v>Male</v>
      </c>
      <c r="I154" s="27" t="s">
        <v>1267</v>
      </c>
      <c r="J154" s="27" t="s">
        <v>1268</v>
      </c>
      <c r="K154" s="27" t="s">
        <v>658</v>
      </c>
      <c r="L154" s="27">
        <v>57201</v>
      </c>
      <c r="M154" s="28" t="str">
        <f t="shared" si="4"/>
        <v>2246 Leroy Lane, Watertown, SD, 57201</v>
      </c>
      <c r="N154" s="27" t="s">
        <v>1269</v>
      </c>
      <c r="O154" s="27" t="s">
        <v>1270</v>
      </c>
      <c r="P154" s="28">
        <v>605</v>
      </c>
      <c r="Q154" s="28">
        <v>882</v>
      </c>
      <c r="R154" s="28">
        <v>7735</v>
      </c>
      <c r="S154" s="29" t="s">
        <v>1271</v>
      </c>
      <c r="T154" s="28">
        <v>7337</v>
      </c>
    </row>
    <row r="155" spans="1:20" ht="14.25" customHeight="1">
      <c r="A155" s="27" t="s">
        <v>547</v>
      </c>
      <c r="B155" s="28" t="str">
        <f t="shared" si="0"/>
        <v>Melissa</v>
      </c>
      <c r="C155" s="27" t="s">
        <v>198</v>
      </c>
      <c r="D155" s="27" t="s">
        <v>326</v>
      </c>
      <c r="E155" s="28" t="str">
        <f t="shared" si="1"/>
        <v>Flores</v>
      </c>
      <c r="F155" s="28" t="str">
        <f t="shared" si="2"/>
        <v>Melissa Flores</v>
      </c>
      <c r="G155" s="27" t="s">
        <v>200</v>
      </c>
      <c r="H155" s="27" t="str">
        <f t="shared" si="3"/>
        <v>Female</v>
      </c>
      <c r="I155" s="27" t="s">
        <v>1272</v>
      </c>
      <c r="J155" s="27" t="s">
        <v>1273</v>
      </c>
      <c r="K155" s="27" t="s">
        <v>944</v>
      </c>
      <c r="L155" s="27">
        <v>99567</v>
      </c>
      <c r="M155" s="28" t="str">
        <f t="shared" si="4"/>
        <v>4286 Timbercrest Road, Chugiak, AK, 99567</v>
      </c>
      <c r="N155" s="27" t="s">
        <v>1274</v>
      </c>
      <c r="O155" s="27" t="s">
        <v>1275</v>
      </c>
      <c r="P155" s="28">
        <v>907</v>
      </c>
      <c r="Q155" s="28">
        <v>688</v>
      </c>
      <c r="R155" s="28">
        <v>3323</v>
      </c>
      <c r="S155" s="29" t="s">
        <v>1276</v>
      </c>
      <c r="T155" s="28">
        <v>6406</v>
      </c>
    </row>
    <row r="156" spans="1:20" ht="14.25" customHeight="1">
      <c r="A156" s="27" t="s">
        <v>419</v>
      </c>
      <c r="B156" s="28" t="str">
        <f t="shared" si="0"/>
        <v>Robert</v>
      </c>
      <c r="C156" s="27" t="s">
        <v>334</v>
      </c>
      <c r="D156" s="27" t="s">
        <v>1277</v>
      </c>
      <c r="E156" s="28" t="str">
        <f t="shared" si="1"/>
        <v>Nelson</v>
      </c>
      <c r="F156" s="28" t="str">
        <f t="shared" si="2"/>
        <v>Robert Nelson</v>
      </c>
      <c r="G156" s="27" t="s">
        <v>210</v>
      </c>
      <c r="H156" s="27" t="str">
        <f t="shared" si="3"/>
        <v>Male</v>
      </c>
      <c r="I156" s="27" t="s">
        <v>1278</v>
      </c>
      <c r="J156" s="27" t="s">
        <v>1279</v>
      </c>
      <c r="K156" s="27" t="s">
        <v>203</v>
      </c>
      <c r="L156" s="27">
        <v>61938</v>
      </c>
      <c r="M156" s="28" t="str">
        <f t="shared" si="4"/>
        <v>3206 University Hill Road, Mattoon, IL, 61938</v>
      </c>
      <c r="N156" s="27" t="s">
        <v>1280</v>
      </c>
      <c r="O156" s="27" t="s">
        <v>1281</v>
      </c>
      <c r="P156" s="28">
        <v>217</v>
      </c>
      <c r="Q156" s="28">
        <v>603</v>
      </c>
      <c r="R156" s="28">
        <v>5699</v>
      </c>
      <c r="S156" s="29" t="s">
        <v>1282</v>
      </c>
      <c r="T156" s="28">
        <v>5491</v>
      </c>
    </row>
    <row r="157" spans="1:20" ht="14.25" customHeight="1">
      <c r="A157" s="27" t="s">
        <v>1069</v>
      </c>
      <c r="B157" s="28" t="str">
        <f t="shared" si="0"/>
        <v>Jerry</v>
      </c>
      <c r="C157" s="27" t="s">
        <v>208</v>
      </c>
      <c r="D157" s="27" t="s">
        <v>941</v>
      </c>
      <c r="E157" s="28" t="str">
        <f t="shared" si="1"/>
        <v>Torres</v>
      </c>
      <c r="F157" s="28" t="str">
        <f t="shared" si="2"/>
        <v>Jerry Torres</v>
      </c>
      <c r="G157" s="27" t="s">
        <v>210</v>
      </c>
      <c r="H157" s="27" t="str">
        <f t="shared" si="3"/>
        <v>Male</v>
      </c>
      <c r="I157" s="27" t="s">
        <v>1283</v>
      </c>
      <c r="J157" s="27" t="s">
        <v>671</v>
      </c>
      <c r="K157" s="27" t="s">
        <v>368</v>
      </c>
      <c r="L157" s="27">
        <v>33311</v>
      </c>
      <c r="M157" s="28" t="str">
        <f t="shared" si="4"/>
        <v>2264 Tyler Avenue, Ft Lauderdale, FL, 33311</v>
      </c>
      <c r="N157" s="27" t="s">
        <v>1284</v>
      </c>
      <c r="O157" s="27" t="s">
        <v>1285</v>
      </c>
      <c r="P157" s="28">
        <v>305</v>
      </c>
      <c r="Q157" s="28">
        <v>336</v>
      </c>
      <c r="R157" s="28">
        <v>9391</v>
      </c>
      <c r="S157" s="29" t="s">
        <v>1286</v>
      </c>
      <c r="T157" s="28">
        <v>1017</v>
      </c>
    </row>
    <row r="158" spans="1:20" ht="14.25" customHeight="1">
      <c r="A158" s="27" t="s">
        <v>1287</v>
      </c>
      <c r="B158" s="28" t="str">
        <f t="shared" si="0"/>
        <v>Theda</v>
      </c>
      <c r="C158" s="27" t="s">
        <v>949</v>
      </c>
      <c r="D158" s="27" t="s">
        <v>1288</v>
      </c>
      <c r="E158" s="28" t="str">
        <f t="shared" si="1"/>
        <v>Mathis</v>
      </c>
      <c r="F158" s="28" t="str">
        <f t="shared" si="2"/>
        <v>Theda Mathis</v>
      </c>
      <c r="G158" s="27" t="s">
        <v>200</v>
      </c>
      <c r="H158" s="27" t="str">
        <f t="shared" si="3"/>
        <v>Female</v>
      </c>
      <c r="I158" s="27" t="s">
        <v>1289</v>
      </c>
      <c r="J158" s="27" t="s">
        <v>1290</v>
      </c>
      <c r="K158" s="27" t="s">
        <v>706</v>
      </c>
      <c r="L158" s="27">
        <v>19403</v>
      </c>
      <c r="M158" s="28" t="str">
        <f t="shared" si="4"/>
        <v>4689 Cityview Drive, Eagleville, PA, 19403</v>
      </c>
      <c r="N158" s="27" t="s">
        <v>1291</v>
      </c>
      <c r="O158" s="27" t="s">
        <v>1292</v>
      </c>
      <c r="P158" s="28">
        <v>610</v>
      </c>
      <c r="Q158" s="28">
        <v>476</v>
      </c>
      <c r="R158" s="28">
        <v>5230</v>
      </c>
      <c r="S158" s="29" t="s">
        <v>1293</v>
      </c>
      <c r="T158" s="28">
        <v>169</v>
      </c>
    </row>
    <row r="159" spans="1:20" ht="14.25" customHeight="1">
      <c r="A159" s="27" t="s">
        <v>1294</v>
      </c>
      <c r="B159" s="28" t="str">
        <f t="shared" si="0"/>
        <v>Leslie</v>
      </c>
      <c r="C159" s="27" t="s">
        <v>198</v>
      </c>
      <c r="D159" s="27" t="s">
        <v>1295</v>
      </c>
      <c r="E159" s="28" t="str">
        <f t="shared" si="1"/>
        <v>Fogle</v>
      </c>
      <c r="F159" s="28" t="str">
        <f t="shared" si="2"/>
        <v>Leslie Fogle</v>
      </c>
      <c r="G159" s="27" t="s">
        <v>200</v>
      </c>
      <c r="H159" s="27" t="str">
        <f t="shared" si="3"/>
        <v>Female</v>
      </c>
      <c r="I159" s="27" t="s">
        <v>1296</v>
      </c>
      <c r="J159" s="27" t="s">
        <v>1297</v>
      </c>
      <c r="K159" s="27" t="s">
        <v>1298</v>
      </c>
      <c r="L159" s="27">
        <v>96813</v>
      </c>
      <c r="M159" s="28" t="str">
        <f t="shared" si="4"/>
        <v>2406 Arron Smith Drive, Honolulu, HI, 96813</v>
      </c>
      <c r="N159" s="27" t="s">
        <v>1299</v>
      </c>
      <c r="O159" s="27" t="s">
        <v>1300</v>
      </c>
      <c r="P159" s="28">
        <v>808</v>
      </c>
      <c r="Q159" s="28">
        <v>467</v>
      </c>
      <c r="R159" s="28">
        <v>6020</v>
      </c>
      <c r="S159" s="29" t="s">
        <v>1301</v>
      </c>
      <c r="T159" s="28">
        <v>991</v>
      </c>
    </row>
    <row r="160" spans="1:20" ht="14.25" customHeight="1">
      <c r="A160" s="27" t="s">
        <v>1302</v>
      </c>
      <c r="B160" s="28" t="str">
        <f t="shared" si="0"/>
        <v>Beatrice</v>
      </c>
      <c r="C160" s="27" t="s">
        <v>252</v>
      </c>
      <c r="D160" s="27" t="s">
        <v>1303</v>
      </c>
      <c r="E160" s="28" t="str">
        <f t="shared" si="1"/>
        <v>Sanchez</v>
      </c>
      <c r="F160" s="28" t="str">
        <f t="shared" si="2"/>
        <v>Beatrice Sanchez</v>
      </c>
      <c r="G160" s="27" t="s">
        <v>200</v>
      </c>
      <c r="H160" s="27" t="str">
        <f t="shared" si="3"/>
        <v>Female</v>
      </c>
      <c r="I160" s="27" t="s">
        <v>1304</v>
      </c>
      <c r="J160" s="27" t="s">
        <v>1305</v>
      </c>
      <c r="K160" s="27" t="s">
        <v>698</v>
      </c>
      <c r="L160" s="27">
        <v>38801</v>
      </c>
      <c r="M160" s="28" t="str">
        <f t="shared" si="4"/>
        <v>3708 Rafe Lane, Tupelo, MS, 38801</v>
      </c>
      <c r="N160" s="27" t="s">
        <v>1306</v>
      </c>
      <c r="O160" s="27" t="s">
        <v>1307</v>
      </c>
      <c r="P160" s="28">
        <v>662</v>
      </c>
      <c r="Q160" s="28">
        <v>691</v>
      </c>
      <c r="R160" s="28">
        <v>811</v>
      </c>
      <c r="S160" s="29" t="s">
        <v>1308</v>
      </c>
      <c r="T160" s="28">
        <v>7749</v>
      </c>
    </row>
    <row r="161" spans="1:20" ht="14.25" customHeight="1">
      <c r="A161" s="27" t="s">
        <v>357</v>
      </c>
      <c r="B161" s="28" t="str">
        <f t="shared" si="0"/>
        <v>James</v>
      </c>
      <c r="C161" s="27" t="s">
        <v>300</v>
      </c>
      <c r="D161" s="27" t="s">
        <v>1309</v>
      </c>
      <c r="E161" s="28" t="str">
        <f t="shared" si="1"/>
        <v>Hartley</v>
      </c>
      <c r="F161" s="28" t="str">
        <f t="shared" si="2"/>
        <v>James Hartley</v>
      </c>
      <c r="G161" s="27" t="s">
        <v>210</v>
      </c>
      <c r="H161" s="27" t="str">
        <f t="shared" si="3"/>
        <v>Male</v>
      </c>
      <c r="I161" s="27" t="s">
        <v>1310</v>
      </c>
      <c r="J161" s="27" t="s">
        <v>1311</v>
      </c>
      <c r="K161" s="27" t="s">
        <v>329</v>
      </c>
      <c r="L161" s="27">
        <v>49503</v>
      </c>
      <c r="M161" s="28" t="str">
        <f t="shared" si="4"/>
        <v>3582 Echo Lane, Grand Rapids, MI, 49503</v>
      </c>
      <c r="N161" s="27" t="s">
        <v>1312</v>
      </c>
      <c r="O161" s="27" t="s">
        <v>1313</v>
      </c>
      <c r="P161" s="28">
        <v>269</v>
      </c>
      <c r="Q161" s="28">
        <v>815</v>
      </c>
      <c r="R161" s="28">
        <v>1770</v>
      </c>
      <c r="S161" s="29" t="s">
        <v>1314</v>
      </c>
      <c r="T161" s="28">
        <v>729</v>
      </c>
    </row>
    <row r="162" spans="1:20" ht="14.25" customHeight="1">
      <c r="A162" s="27" t="s">
        <v>1315</v>
      </c>
      <c r="B162" s="28" t="str">
        <f t="shared" si="0"/>
        <v>Scott</v>
      </c>
      <c r="C162" s="27" t="s">
        <v>429</v>
      </c>
      <c r="D162" s="27" t="s">
        <v>1316</v>
      </c>
      <c r="E162" s="28" t="str">
        <f t="shared" si="1"/>
        <v>Bull</v>
      </c>
      <c r="F162" s="28" t="str">
        <f t="shared" si="2"/>
        <v>Scott Bull</v>
      </c>
      <c r="G162" s="27" t="s">
        <v>210</v>
      </c>
      <c r="H162" s="27" t="str">
        <f t="shared" si="3"/>
        <v>Male</v>
      </c>
      <c r="I162" s="27" t="s">
        <v>1317</v>
      </c>
      <c r="J162" s="27" t="s">
        <v>1318</v>
      </c>
      <c r="K162" s="27" t="s">
        <v>706</v>
      </c>
      <c r="L162" s="27">
        <v>19426</v>
      </c>
      <c r="M162" s="28" t="str">
        <f t="shared" si="4"/>
        <v>666 Berkley Street, Collegeville, PA, 19426</v>
      </c>
      <c r="N162" s="27" t="s">
        <v>1319</v>
      </c>
      <c r="O162" s="27" t="s">
        <v>1320</v>
      </c>
      <c r="P162" s="28">
        <v>484</v>
      </c>
      <c r="Q162" s="28">
        <v>902</v>
      </c>
      <c r="R162" s="28">
        <v>6607</v>
      </c>
      <c r="S162" s="29" t="s">
        <v>1321</v>
      </c>
      <c r="T162" s="28">
        <v>419</v>
      </c>
    </row>
    <row r="163" spans="1:20" ht="14.25" customHeight="1">
      <c r="A163" s="27" t="s">
        <v>1322</v>
      </c>
      <c r="B163" s="28" t="str">
        <f t="shared" si="0"/>
        <v>Gabriela</v>
      </c>
      <c r="C163" s="27" t="s">
        <v>334</v>
      </c>
      <c r="D163" s="27" t="s">
        <v>1323</v>
      </c>
      <c r="E163" s="28" t="str">
        <f t="shared" si="1"/>
        <v>Jackson</v>
      </c>
      <c r="F163" s="28" t="str">
        <f t="shared" si="2"/>
        <v>Gabriela Jackson</v>
      </c>
      <c r="G163" s="27" t="s">
        <v>200</v>
      </c>
      <c r="H163" s="27" t="str">
        <f t="shared" si="3"/>
        <v>Female</v>
      </c>
      <c r="I163" s="27" t="s">
        <v>1324</v>
      </c>
      <c r="J163" s="27" t="s">
        <v>1325</v>
      </c>
      <c r="K163" s="27" t="s">
        <v>272</v>
      </c>
      <c r="L163" s="27">
        <v>10013</v>
      </c>
      <c r="M163" s="28" t="str">
        <f t="shared" si="4"/>
        <v>4588 Pallet Street, New York, NY, 10013</v>
      </c>
      <c r="N163" s="27" t="s">
        <v>1326</v>
      </c>
      <c r="O163" s="27" t="s">
        <v>1327</v>
      </c>
      <c r="P163" s="28">
        <v>914</v>
      </c>
      <c r="Q163" s="28">
        <v>315</v>
      </c>
      <c r="R163" s="28">
        <v>5689</v>
      </c>
      <c r="S163" s="29" t="s">
        <v>1328</v>
      </c>
      <c r="T163" s="28">
        <v>187</v>
      </c>
    </row>
    <row r="164" spans="1:20" ht="14.25" customHeight="1">
      <c r="A164" s="27" t="s">
        <v>1329</v>
      </c>
      <c r="B164" s="28" t="str">
        <f t="shared" si="0"/>
        <v>Agnes</v>
      </c>
      <c r="C164" s="27" t="s">
        <v>226</v>
      </c>
      <c r="D164" s="27" t="s">
        <v>1330</v>
      </c>
      <c r="E164" s="28" t="str">
        <f t="shared" si="1"/>
        <v>Schmidt</v>
      </c>
      <c r="F164" s="28" t="str">
        <f t="shared" si="2"/>
        <v>Agnes Schmidt</v>
      </c>
      <c r="G164" s="27" t="s">
        <v>200</v>
      </c>
      <c r="H164" s="27" t="str">
        <f t="shared" si="3"/>
        <v>Female</v>
      </c>
      <c r="I164" s="27" t="s">
        <v>1331</v>
      </c>
      <c r="J164" s="27" t="s">
        <v>608</v>
      </c>
      <c r="K164" s="27" t="s">
        <v>609</v>
      </c>
      <c r="L164" s="27">
        <v>80202</v>
      </c>
      <c r="M164" s="28" t="str">
        <f t="shared" si="4"/>
        <v>876 Logan Lane, Denver, CO, 80202</v>
      </c>
      <c r="N164" s="27" t="s">
        <v>1332</v>
      </c>
      <c r="O164" s="27" t="s">
        <v>1333</v>
      </c>
      <c r="P164" s="28">
        <v>303</v>
      </c>
      <c r="Q164" s="28">
        <v>285</v>
      </c>
      <c r="R164" s="28">
        <v>1449</v>
      </c>
      <c r="S164" s="29" t="s">
        <v>1334</v>
      </c>
      <c r="T164" s="28">
        <v>2522</v>
      </c>
    </row>
    <row r="165" spans="1:20" ht="14.25" customHeight="1">
      <c r="A165" s="27" t="s">
        <v>1335</v>
      </c>
      <c r="B165" s="28" t="str">
        <f t="shared" si="0"/>
        <v>Troy</v>
      </c>
      <c r="C165" s="27" t="s">
        <v>198</v>
      </c>
      <c r="D165" s="27" t="s">
        <v>1336</v>
      </c>
      <c r="E165" s="28" t="str">
        <f t="shared" si="1"/>
        <v>Castellanos</v>
      </c>
      <c r="F165" s="28" t="str">
        <f t="shared" si="2"/>
        <v>Troy Castellanos</v>
      </c>
      <c r="G165" s="27" t="s">
        <v>210</v>
      </c>
      <c r="H165" s="27" t="str">
        <f t="shared" si="3"/>
        <v>Male</v>
      </c>
      <c r="I165" s="27" t="s">
        <v>1337</v>
      </c>
      <c r="J165" s="27" t="s">
        <v>1338</v>
      </c>
      <c r="K165" s="27" t="s">
        <v>213</v>
      </c>
      <c r="L165" s="27">
        <v>90802</v>
      </c>
      <c r="M165" s="28" t="str">
        <f t="shared" si="4"/>
        <v>4622 Hillhaven Drive, Long Beach, CA, 90802</v>
      </c>
      <c r="N165" s="27" t="s">
        <v>1339</v>
      </c>
      <c r="O165" s="27" t="s">
        <v>1340</v>
      </c>
      <c r="P165" s="28">
        <v>323</v>
      </c>
      <c r="Q165" s="28">
        <v>904</v>
      </c>
      <c r="R165" s="28">
        <v>6802</v>
      </c>
      <c r="S165" s="29" t="s">
        <v>1341</v>
      </c>
      <c r="T165" s="28">
        <v>3510</v>
      </c>
    </row>
    <row r="166" spans="1:20" ht="14.25" customHeight="1">
      <c r="A166" s="27" t="s">
        <v>1342</v>
      </c>
      <c r="B166" s="28" t="str">
        <f t="shared" si="0"/>
        <v>Concetta</v>
      </c>
      <c r="C166" s="27" t="s">
        <v>334</v>
      </c>
      <c r="D166" s="27" t="s">
        <v>1343</v>
      </c>
      <c r="E166" s="28" t="str">
        <f t="shared" si="1"/>
        <v>Woodruff</v>
      </c>
      <c r="F166" s="28" t="str">
        <f t="shared" si="2"/>
        <v>Concetta Woodruff</v>
      </c>
      <c r="G166" s="27" t="s">
        <v>200</v>
      </c>
      <c r="H166" s="27" t="str">
        <f t="shared" si="3"/>
        <v>Female</v>
      </c>
      <c r="I166" s="27" t="s">
        <v>1344</v>
      </c>
      <c r="J166" s="27" t="s">
        <v>1345</v>
      </c>
      <c r="K166" s="27" t="s">
        <v>515</v>
      </c>
      <c r="L166" s="27">
        <v>64067</v>
      </c>
      <c r="M166" s="28" t="str">
        <f t="shared" si="4"/>
        <v>4968 Fairmont Avenue, Lexington, MO, 64067</v>
      </c>
      <c r="N166" s="27" t="s">
        <v>1346</v>
      </c>
      <c r="O166" s="27" t="s">
        <v>1347</v>
      </c>
      <c r="P166" s="28">
        <v>660</v>
      </c>
      <c r="Q166" s="28">
        <v>259</v>
      </c>
      <c r="R166" s="28">
        <v>4549</v>
      </c>
      <c r="S166" s="29" t="s">
        <v>1348</v>
      </c>
      <c r="T166" s="28">
        <v>9485</v>
      </c>
    </row>
    <row r="167" spans="1:20" ht="14.25" customHeight="1">
      <c r="A167" s="27" t="s">
        <v>1349</v>
      </c>
      <c r="B167" s="28" t="str">
        <f t="shared" si="0"/>
        <v>Tracy</v>
      </c>
      <c r="C167" s="27" t="s">
        <v>300</v>
      </c>
      <c r="D167" s="27" t="s">
        <v>1350</v>
      </c>
      <c r="E167" s="28" t="str">
        <f t="shared" si="1"/>
        <v>Berry</v>
      </c>
      <c r="F167" s="28" t="str">
        <f t="shared" si="2"/>
        <v>Tracy Berry</v>
      </c>
      <c r="G167" s="27" t="s">
        <v>200</v>
      </c>
      <c r="H167" s="27" t="str">
        <f t="shared" si="3"/>
        <v>Female</v>
      </c>
      <c r="I167" s="27" t="s">
        <v>1351</v>
      </c>
      <c r="J167" s="27" t="s">
        <v>1026</v>
      </c>
      <c r="K167" s="27" t="s">
        <v>706</v>
      </c>
      <c r="L167" s="27">
        <v>19108</v>
      </c>
      <c r="M167" s="28" t="str">
        <f t="shared" si="4"/>
        <v>1078 Spring Avenue, Philadelphia, PA, 19108</v>
      </c>
      <c r="N167" s="27" t="s">
        <v>1352</v>
      </c>
      <c r="O167" s="27" t="s">
        <v>1353</v>
      </c>
      <c r="P167" s="28">
        <v>267</v>
      </c>
      <c r="Q167" s="28">
        <v>715</v>
      </c>
      <c r="R167" s="28">
        <v>9830</v>
      </c>
      <c r="S167" s="29" t="s">
        <v>1354</v>
      </c>
      <c r="T167" s="28">
        <v>381</v>
      </c>
    </row>
    <row r="168" spans="1:20" ht="14.25" customHeight="1">
      <c r="A168" s="27" t="s">
        <v>639</v>
      </c>
      <c r="B168" s="28" t="str">
        <f t="shared" si="0"/>
        <v>David</v>
      </c>
      <c r="C168" s="27" t="s">
        <v>284</v>
      </c>
      <c r="D168" s="27" t="s">
        <v>1355</v>
      </c>
      <c r="E168" s="28" t="str">
        <f t="shared" si="1"/>
        <v>Taber</v>
      </c>
      <c r="F168" s="28" t="str">
        <f t="shared" si="2"/>
        <v>David Taber</v>
      </c>
      <c r="G168" s="27" t="s">
        <v>210</v>
      </c>
      <c r="H168" s="27" t="str">
        <f t="shared" si="3"/>
        <v>Male</v>
      </c>
      <c r="I168" s="27" t="s">
        <v>1356</v>
      </c>
      <c r="J168" s="27" t="s">
        <v>1357</v>
      </c>
      <c r="K168" s="27" t="s">
        <v>727</v>
      </c>
      <c r="L168" s="27">
        <v>52052</v>
      </c>
      <c r="M168" s="28" t="str">
        <f t="shared" si="4"/>
        <v>3787 Pin Oak Drive, Guttenberg, IA, 52052</v>
      </c>
      <c r="N168" s="27" t="s">
        <v>1358</v>
      </c>
      <c r="O168" s="27" t="s">
        <v>1359</v>
      </c>
      <c r="P168" s="28">
        <v>563</v>
      </c>
      <c r="Q168" s="28">
        <v>252</v>
      </c>
      <c r="R168" s="28">
        <v>9377</v>
      </c>
      <c r="S168" s="29" t="s">
        <v>1360</v>
      </c>
      <c r="T168" s="28">
        <v>4591</v>
      </c>
    </row>
    <row r="169" spans="1:20" ht="14.25" customHeight="1">
      <c r="A169" s="27" t="s">
        <v>1361</v>
      </c>
      <c r="B169" s="28" t="str">
        <f t="shared" si="0"/>
        <v>Anita</v>
      </c>
      <c r="C169" s="27" t="s">
        <v>198</v>
      </c>
      <c r="D169" s="27" t="s">
        <v>1362</v>
      </c>
      <c r="E169" s="28" t="str">
        <f t="shared" si="1"/>
        <v>Sachs</v>
      </c>
      <c r="F169" s="28" t="str">
        <f t="shared" si="2"/>
        <v>Anita Sachs</v>
      </c>
      <c r="G169" s="27" t="s">
        <v>200</v>
      </c>
      <c r="H169" s="27" t="str">
        <f t="shared" si="3"/>
        <v>Female</v>
      </c>
      <c r="I169" s="27" t="s">
        <v>1363</v>
      </c>
      <c r="J169" s="27" t="s">
        <v>1364</v>
      </c>
      <c r="K169" s="27" t="s">
        <v>491</v>
      </c>
      <c r="L169" s="27">
        <v>55350</v>
      </c>
      <c r="M169" s="28" t="str">
        <f t="shared" si="4"/>
        <v>677 Brighton Circle Road, Hutchinson, MN, 55350</v>
      </c>
      <c r="N169" s="27" t="s">
        <v>1365</v>
      </c>
      <c r="O169" s="27" t="s">
        <v>1366</v>
      </c>
      <c r="P169" s="28">
        <v>320</v>
      </c>
      <c r="Q169" s="28">
        <v>552</v>
      </c>
      <c r="R169" s="28">
        <v>4063</v>
      </c>
      <c r="S169" s="29" t="s">
        <v>1367</v>
      </c>
      <c r="T169" s="28">
        <v>479</v>
      </c>
    </row>
    <row r="170" spans="1:20" ht="14.25" customHeight="1">
      <c r="A170" s="27" t="s">
        <v>1368</v>
      </c>
      <c r="B170" s="28" t="str">
        <f t="shared" si="0"/>
        <v>Xavier</v>
      </c>
      <c r="C170" s="27" t="s">
        <v>226</v>
      </c>
      <c r="D170" s="27" t="s">
        <v>578</v>
      </c>
      <c r="E170" s="28" t="str">
        <f t="shared" si="1"/>
        <v>Brown</v>
      </c>
      <c r="F170" s="28" t="str">
        <f t="shared" si="2"/>
        <v>Xavier Brown</v>
      </c>
      <c r="G170" s="27" t="s">
        <v>210</v>
      </c>
      <c r="H170" s="27" t="str">
        <f t="shared" si="3"/>
        <v>Male</v>
      </c>
      <c r="I170" s="27" t="s">
        <v>1369</v>
      </c>
      <c r="J170" s="27" t="s">
        <v>1370</v>
      </c>
      <c r="K170" s="27" t="s">
        <v>684</v>
      </c>
      <c r="L170" s="27">
        <v>47223</v>
      </c>
      <c r="M170" s="28" t="str">
        <f t="shared" si="4"/>
        <v>1993 Lucy Lane, Butlerville, IN, 47223</v>
      </c>
      <c r="N170" s="27" t="s">
        <v>1371</v>
      </c>
      <c r="O170" s="27" t="s">
        <v>1372</v>
      </c>
      <c r="P170" s="28">
        <v>812</v>
      </c>
      <c r="Q170" s="28">
        <v>458</v>
      </c>
      <c r="R170" s="28">
        <v>6289</v>
      </c>
      <c r="S170" s="29" t="s">
        <v>1373</v>
      </c>
      <c r="T170" s="28">
        <v>9281</v>
      </c>
    </row>
    <row r="171" spans="1:20" ht="14.25" customHeight="1">
      <c r="A171" s="27" t="s">
        <v>1374</v>
      </c>
      <c r="B171" s="28" t="str">
        <f t="shared" si="0"/>
        <v>Kathy</v>
      </c>
      <c r="C171" s="27" t="s">
        <v>300</v>
      </c>
      <c r="D171" s="27" t="s">
        <v>1375</v>
      </c>
      <c r="E171" s="28" t="str">
        <f t="shared" si="1"/>
        <v>Hutto</v>
      </c>
      <c r="F171" s="28" t="str">
        <f t="shared" si="2"/>
        <v>Kathy Hutto</v>
      </c>
      <c r="G171" s="27" t="s">
        <v>200</v>
      </c>
      <c r="H171" s="27" t="str">
        <f t="shared" si="3"/>
        <v>Female</v>
      </c>
      <c r="I171" s="27" t="s">
        <v>1376</v>
      </c>
      <c r="J171" s="27" t="s">
        <v>1377</v>
      </c>
      <c r="K171" s="27" t="s">
        <v>368</v>
      </c>
      <c r="L171" s="27">
        <v>33169</v>
      </c>
      <c r="M171" s="28" t="str">
        <f t="shared" si="4"/>
        <v>4029 Everette Alley, Miami, FL, 33169</v>
      </c>
      <c r="N171" s="27" t="s">
        <v>1378</v>
      </c>
      <c r="O171" s="27" t="s">
        <v>1379</v>
      </c>
      <c r="P171" s="28">
        <v>954</v>
      </c>
      <c r="Q171" s="28">
        <v>738</v>
      </c>
      <c r="R171" s="28">
        <v>6457</v>
      </c>
      <c r="S171" s="29" t="s">
        <v>1380</v>
      </c>
      <c r="T171" s="28">
        <v>265</v>
      </c>
    </row>
    <row r="172" spans="1:20" ht="14.25" customHeight="1">
      <c r="A172" s="27" t="s">
        <v>1381</v>
      </c>
      <c r="B172" s="28" t="str">
        <f t="shared" si="0"/>
        <v>Evelyne</v>
      </c>
      <c r="C172" s="27" t="s">
        <v>309</v>
      </c>
      <c r="D172" s="27" t="s">
        <v>599</v>
      </c>
      <c r="E172" s="28" t="str">
        <f t="shared" si="1"/>
        <v>Williams</v>
      </c>
      <c r="F172" s="28" t="str">
        <f t="shared" si="2"/>
        <v>Evelyne Williams</v>
      </c>
      <c r="G172" s="27" t="s">
        <v>200</v>
      </c>
      <c r="H172" s="27" t="str">
        <f t="shared" si="3"/>
        <v>Female</v>
      </c>
      <c r="I172" s="27" t="s">
        <v>1382</v>
      </c>
      <c r="J172" s="27" t="s">
        <v>608</v>
      </c>
      <c r="K172" s="27" t="s">
        <v>609</v>
      </c>
      <c r="L172" s="27">
        <v>80209</v>
      </c>
      <c r="M172" s="28" t="str">
        <f t="shared" si="4"/>
        <v>4459 McKinley Avenue, Denver, CO, 80209</v>
      </c>
      <c r="N172" s="27" t="s">
        <v>1383</v>
      </c>
      <c r="O172" s="27" t="s">
        <v>1384</v>
      </c>
      <c r="P172" s="28">
        <v>303</v>
      </c>
      <c r="Q172" s="28">
        <v>765</v>
      </c>
      <c r="R172" s="28">
        <v>8535</v>
      </c>
      <c r="S172" s="29" t="s">
        <v>1385</v>
      </c>
      <c r="T172" s="28">
        <v>704</v>
      </c>
    </row>
    <row r="173" spans="1:20" ht="14.25" customHeight="1">
      <c r="A173" s="27" t="s">
        <v>639</v>
      </c>
      <c r="B173" s="28" t="str">
        <f t="shared" si="0"/>
        <v>David</v>
      </c>
      <c r="C173" s="27" t="s">
        <v>226</v>
      </c>
      <c r="D173" s="27" t="s">
        <v>1386</v>
      </c>
      <c r="E173" s="28" t="str">
        <f t="shared" si="1"/>
        <v>Walters</v>
      </c>
      <c r="F173" s="28" t="str">
        <f t="shared" si="2"/>
        <v>David Walters</v>
      </c>
      <c r="G173" s="27" t="s">
        <v>210</v>
      </c>
      <c r="H173" s="27" t="str">
        <f t="shared" si="3"/>
        <v>Male</v>
      </c>
      <c r="I173" s="27" t="s">
        <v>1387</v>
      </c>
      <c r="J173" s="27" t="s">
        <v>1388</v>
      </c>
      <c r="K173" s="27" t="s">
        <v>321</v>
      </c>
      <c r="L173" s="27">
        <v>54484</v>
      </c>
      <c r="M173" s="28" t="str">
        <f t="shared" si="4"/>
        <v>3762 Abner Road, Stratford, WI, 54484</v>
      </c>
      <c r="N173" s="27" t="s">
        <v>1389</v>
      </c>
      <c r="O173" s="27" t="s">
        <v>1390</v>
      </c>
      <c r="P173" s="28">
        <v>715</v>
      </c>
      <c r="Q173" s="28">
        <v>391</v>
      </c>
      <c r="R173" s="28">
        <v>1204</v>
      </c>
      <c r="S173" s="29" t="s">
        <v>1391</v>
      </c>
      <c r="T173" s="28">
        <v>400</v>
      </c>
    </row>
    <row r="174" spans="1:20" ht="14.25" customHeight="1">
      <c r="A174" s="27" t="s">
        <v>1392</v>
      </c>
      <c r="B174" s="28" t="str">
        <f t="shared" si="0"/>
        <v>Rosemary</v>
      </c>
      <c r="C174" s="27" t="s">
        <v>198</v>
      </c>
      <c r="D174" s="27" t="s">
        <v>1393</v>
      </c>
      <c r="E174" s="28" t="str">
        <f t="shared" si="1"/>
        <v>Quinn</v>
      </c>
      <c r="F174" s="28" t="str">
        <f t="shared" si="2"/>
        <v>Rosemary Quinn</v>
      </c>
      <c r="G174" s="27" t="s">
        <v>200</v>
      </c>
      <c r="H174" s="27" t="str">
        <f t="shared" si="3"/>
        <v>Female</v>
      </c>
      <c r="I174" s="27" t="s">
        <v>1394</v>
      </c>
      <c r="J174" s="27" t="s">
        <v>1395</v>
      </c>
      <c r="K174" s="27" t="s">
        <v>213</v>
      </c>
      <c r="L174" s="27">
        <v>90670</v>
      </c>
      <c r="M174" s="28" t="str">
        <f t="shared" si="4"/>
        <v>4743 Felosa Drive, Santa Fe Springs, CA, 90670</v>
      </c>
      <c r="N174" s="27" t="s">
        <v>1396</v>
      </c>
      <c r="O174" s="27" t="s">
        <v>1397</v>
      </c>
      <c r="P174" s="28">
        <v>323</v>
      </c>
      <c r="Q174" s="28">
        <v>972</v>
      </c>
      <c r="R174" s="28">
        <v>5350</v>
      </c>
      <c r="S174" s="29" t="s">
        <v>1398</v>
      </c>
      <c r="T174" s="28">
        <v>2225</v>
      </c>
    </row>
    <row r="175" spans="1:20" ht="14.25" customHeight="1">
      <c r="A175" s="27" t="s">
        <v>1399</v>
      </c>
      <c r="B175" s="28" t="str">
        <f t="shared" si="0"/>
        <v>Lupe</v>
      </c>
      <c r="C175" s="27" t="s">
        <v>252</v>
      </c>
      <c r="D175" s="27" t="s">
        <v>1400</v>
      </c>
      <c r="E175" s="28" t="str">
        <f t="shared" si="1"/>
        <v>Heath</v>
      </c>
      <c r="F175" s="28" t="str">
        <f t="shared" si="2"/>
        <v>Lupe Heath</v>
      </c>
      <c r="G175" s="27" t="s">
        <v>200</v>
      </c>
      <c r="H175" s="27" t="str">
        <f t="shared" si="3"/>
        <v>Female</v>
      </c>
      <c r="I175" s="27" t="s">
        <v>1401</v>
      </c>
      <c r="J175" s="27" t="s">
        <v>1402</v>
      </c>
      <c r="K175" s="27" t="s">
        <v>329</v>
      </c>
      <c r="L175" s="27">
        <v>48185</v>
      </c>
      <c r="M175" s="28" t="str">
        <f t="shared" si="4"/>
        <v>4758 Cunningham Court, Westland, MI, 48185</v>
      </c>
      <c r="N175" s="27" t="s">
        <v>1403</v>
      </c>
      <c r="O175" s="27" t="s">
        <v>1404</v>
      </c>
      <c r="P175" s="28">
        <v>248</v>
      </c>
      <c r="Q175" s="28">
        <v>670</v>
      </c>
      <c r="R175" s="28">
        <v>1284</v>
      </c>
      <c r="S175" s="29" t="s">
        <v>1405</v>
      </c>
      <c r="T175" s="28">
        <v>822</v>
      </c>
    </row>
    <row r="176" spans="1:20" ht="14.25" customHeight="1">
      <c r="A176" s="27" t="s">
        <v>1406</v>
      </c>
      <c r="B176" s="28" t="str">
        <f t="shared" si="0"/>
        <v>Danielle</v>
      </c>
      <c r="C176" s="27" t="s">
        <v>465</v>
      </c>
      <c r="D176" s="27" t="s">
        <v>1407</v>
      </c>
      <c r="E176" s="28" t="str">
        <f t="shared" si="1"/>
        <v>Palmer</v>
      </c>
      <c r="F176" s="28" t="str">
        <f t="shared" si="2"/>
        <v>Danielle Palmer</v>
      </c>
      <c r="G176" s="27" t="s">
        <v>200</v>
      </c>
      <c r="H176" s="27" t="str">
        <f t="shared" si="3"/>
        <v>Female</v>
      </c>
      <c r="I176" s="27" t="s">
        <v>1408</v>
      </c>
      <c r="J176" s="27" t="s">
        <v>1409</v>
      </c>
      <c r="K176" s="27" t="s">
        <v>706</v>
      </c>
      <c r="L176" s="27">
        <v>19462</v>
      </c>
      <c r="M176" s="28" t="str">
        <f t="shared" si="4"/>
        <v>398 Valley Drive, Plymouth Meeting, PA, 19462</v>
      </c>
      <c r="N176" s="27" t="s">
        <v>1410</v>
      </c>
      <c r="O176" s="27" t="s">
        <v>1411</v>
      </c>
      <c r="P176" s="28">
        <v>267</v>
      </c>
      <c r="Q176" s="28">
        <v>374</v>
      </c>
      <c r="R176" s="28">
        <v>3082</v>
      </c>
      <c r="S176" s="29" t="s">
        <v>1412</v>
      </c>
      <c r="T176" s="28">
        <v>5648</v>
      </c>
    </row>
    <row r="177" spans="1:20" ht="14.25" customHeight="1">
      <c r="A177" s="27" t="s">
        <v>1294</v>
      </c>
      <c r="B177" s="28" t="str">
        <f t="shared" si="0"/>
        <v>Leslie</v>
      </c>
      <c r="C177" s="27" t="s">
        <v>317</v>
      </c>
      <c r="D177" s="27" t="s">
        <v>1413</v>
      </c>
      <c r="E177" s="28" t="str">
        <f t="shared" si="1"/>
        <v>Whitaker</v>
      </c>
      <c r="F177" s="28" t="str">
        <f t="shared" si="2"/>
        <v>Leslie Whitaker</v>
      </c>
      <c r="G177" s="27" t="s">
        <v>200</v>
      </c>
      <c r="H177" s="27" t="str">
        <f t="shared" si="3"/>
        <v>Female</v>
      </c>
      <c r="I177" s="27" t="s">
        <v>1414</v>
      </c>
      <c r="J177" s="27" t="s">
        <v>1415</v>
      </c>
      <c r="K177" s="27" t="s">
        <v>393</v>
      </c>
      <c r="L177" s="27">
        <v>25921</v>
      </c>
      <c r="M177" s="28" t="str">
        <f t="shared" si="4"/>
        <v>673 Hall Valley Drive, Sophia, WV, 25921</v>
      </c>
      <c r="N177" s="27" t="s">
        <v>1416</v>
      </c>
      <c r="O177" s="27" t="s">
        <v>1417</v>
      </c>
      <c r="P177" s="28">
        <v>304</v>
      </c>
      <c r="Q177" s="28">
        <v>683</v>
      </c>
      <c r="R177" s="28">
        <v>1108</v>
      </c>
      <c r="S177" s="29" t="s">
        <v>1418</v>
      </c>
      <c r="T177" s="28">
        <v>570</v>
      </c>
    </row>
    <row r="178" spans="1:20" ht="14.25" customHeight="1">
      <c r="A178" s="27" t="s">
        <v>1419</v>
      </c>
      <c r="B178" s="28" t="str">
        <f t="shared" si="0"/>
        <v>Terrance</v>
      </c>
      <c r="C178" s="27" t="s">
        <v>438</v>
      </c>
      <c r="D178" s="27" t="s">
        <v>703</v>
      </c>
      <c r="E178" s="28" t="str">
        <f t="shared" si="1"/>
        <v>Johnson</v>
      </c>
      <c r="F178" s="28" t="str">
        <f t="shared" si="2"/>
        <v>Terrance Johnson</v>
      </c>
      <c r="G178" s="27" t="s">
        <v>210</v>
      </c>
      <c r="H178" s="27" t="str">
        <f t="shared" si="3"/>
        <v>Male</v>
      </c>
      <c r="I178" s="27" t="s">
        <v>1420</v>
      </c>
      <c r="J178" s="27" t="s">
        <v>1421</v>
      </c>
      <c r="K178" s="27" t="s">
        <v>203</v>
      </c>
      <c r="L178" s="27">
        <v>60090</v>
      </c>
      <c r="M178" s="28" t="str">
        <f t="shared" si="4"/>
        <v>1346 Pinewood Drive, Wheeling, IL, 60090</v>
      </c>
      <c r="N178" s="27" t="s">
        <v>1422</v>
      </c>
      <c r="O178" s="27" t="s">
        <v>1423</v>
      </c>
      <c r="P178" s="28">
        <v>847</v>
      </c>
      <c r="Q178" s="28">
        <v>861</v>
      </c>
      <c r="R178" s="28">
        <v>967</v>
      </c>
      <c r="S178" s="29" t="s">
        <v>1424</v>
      </c>
      <c r="T178" s="28">
        <v>753</v>
      </c>
    </row>
    <row r="179" spans="1:20" ht="14.25" customHeight="1">
      <c r="A179" s="27" t="s">
        <v>1425</v>
      </c>
      <c r="B179" s="28" t="str">
        <f t="shared" si="0"/>
        <v>Jesse</v>
      </c>
      <c r="C179" s="27" t="s">
        <v>198</v>
      </c>
      <c r="D179" s="27" t="s">
        <v>1426</v>
      </c>
      <c r="E179" s="28" t="str">
        <f t="shared" si="1"/>
        <v>Catlin</v>
      </c>
      <c r="F179" s="28" t="str">
        <f t="shared" si="2"/>
        <v>Jesse Catlin</v>
      </c>
      <c r="G179" s="27" t="s">
        <v>210</v>
      </c>
      <c r="H179" s="27" t="str">
        <f t="shared" si="3"/>
        <v>Male</v>
      </c>
      <c r="I179" s="27" t="s">
        <v>1427</v>
      </c>
      <c r="J179" s="27" t="s">
        <v>246</v>
      </c>
      <c r="K179" s="27" t="s">
        <v>706</v>
      </c>
      <c r="L179" s="27">
        <v>97205</v>
      </c>
      <c r="M179" s="28" t="str">
        <f t="shared" si="4"/>
        <v>1291 Pheasant Ridge Road, Portland, PA, 97205</v>
      </c>
      <c r="N179" s="27" t="s">
        <v>1428</v>
      </c>
      <c r="O179" s="27" t="s">
        <v>1429</v>
      </c>
      <c r="P179" s="28">
        <v>215</v>
      </c>
      <c r="Q179" s="28">
        <v>525</v>
      </c>
      <c r="R179" s="28">
        <v>3830</v>
      </c>
      <c r="S179" s="29" t="s">
        <v>1430</v>
      </c>
      <c r="T179" s="28">
        <v>6361</v>
      </c>
    </row>
    <row r="180" spans="1:20" ht="14.25" customHeight="1">
      <c r="A180" s="27" t="s">
        <v>1258</v>
      </c>
      <c r="B180" s="28" t="str">
        <f t="shared" si="0"/>
        <v>Maria</v>
      </c>
      <c r="C180" s="27" t="s">
        <v>381</v>
      </c>
      <c r="D180" s="27" t="s">
        <v>1431</v>
      </c>
      <c r="E180" s="28" t="str">
        <f t="shared" si="1"/>
        <v>Kinsley</v>
      </c>
      <c r="F180" s="28" t="str">
        <f t="shared" si="2"/>
        <v>Maria Kinsley</v>
      </c>
      <c r="G180" s="27" t="s">
        <v>200</v>
      </c>
      <c r="H180" s="27" t="str">
        <f t="shared" si="3"/>
        <v>Female</v>
      </c>
      <c r="I180" s="27" t="s">
        <v>1432</v>
      </c>
      <c r="J180" s="27" t="s">
        <v>1433</v>
      </c>
      <c r="K180" s="27" t="s">
        <v>256</v>
      </c>
      <c r="L180" s="27">
        <v>76357</v>
      </c>
      <c r="M180" s="28" t="str">
        <f t="shared" si="4"/>
        <v>4699 Alexander Drive, Byers, TX, 76357</v>
      </c>
      <c r="N180" s="27" t="s">
        <v>1434</v>
      </c>
      <c r="O180" s="27" t="s">
        <v>1435</v>
      </c>
      <c r="P180" s="28">
        <v>940</v>
      </c>
      <c r="Q180" s="28">
        <v>529</v>
      </c>
      <c r="R180" s="28">
        <v>323</v>
      </c>
      <c r="S180" s="29" t="s">
        <v>1436</v>
      </c>
      <c r="T180" s="28">
        <v>660</v>
      </c>
    </row>
    <row r="181" spans="1:20" ht="14.25" customHeight="1">
      <c r="A181" s="27" t="s">
        <v>1437</v>
      </c>
      <c r="B181" s="28" t="str">
        <f t="shared" si="0"/>
        <v>William</v>
      </c>
      <c r="C181" s="27" t="s">
        <v>334</v>
      </c>
      <c r="D181" s="27" t="s">
        <v>1438</v>
      </c>
      <c r="E181" s="28" t="str">
        <f t="shared" si="1"/>
        <v>Potts</v>
      </c>
      <c r="F181" s="28" t="str">
        <f t="shared" si="2"/>
        <v>William Potts</v>
      </c>
      <c r="G181" s="27" t="s">
        <v>210</v>
      </c>
      <c r="H181" s="27" t="str">
        <f t="shared" si="3"/>
        <v>Male</v>
      </c>
      <c r="I181" s="27" t="s">
        <v>1439</v>
      </c>
      <c r="J181" s="27" t="s">
        <v>1440</v>
      </c>
      <c r="K181" s="27" t="s">
        <v>230</v>
      </c>
      <c r="L181" s="27">
        <v>23222</v>
      </c>
      <c r="M181" s="28" t="str">
        <f t="shared" si="4"/>
        <v>511 Fleming Way, Richmond, VA, 23222</v>
      </c>
      <c r="N181" s="27" t="s">
        <v>1441</v>
      </c>
      <c r="O181" s="27" t="s">
        <v>1442</v>
      </c>
      <c r="P181" s="28">
        <v>804</v>
      </c>
      <c r="Q181" s="28">
        <v>724</v>
      </c>
      <c r="R181" s="28">
        <v>5205</v>
      </c>
      <c r="S181" s="29" t="s">
        <v>1443</v>
      </c>
      <c r="T181" s="28">
        <v>3726</v>
      </c>
    </row>
    <row r="182" spans="1:20" ht="14.25" customHeight="1">
      <c r="A182" s="27" t="s">
        <v>1406</v>
      </c>
      <c r="B182" s="28" t="str">
        <f t="shared" si="0"/>
        <v>Danielle</v>
      </c>
      <c r="C182" s="27" t="s">
        <v>284</v>
      </c>
      <c r="D182" s="27" t="s">
        <v>1444</v>
      </c>
      <c r="E182" s="28" t="str">
        <f t="shared" si="1"/>
        <v>Magnusson</v>
      </c>
      <c r="F182" s="28" t="str">
        <f t="shared" si="2"/>
        <v>Danielle Magnusson</v>
      </c>
      <c r="G182" s="27" t="s">
        <v>200</v>
      </c>
      <c r="H182" s="27" t="str">
        <f t="shared" si="3"/>
        <v>Female</v>
      </c>
      <c r="I182" s="27" t="s">
        <v>1445</v>
      </c>
      <c r="J182" s="27" t="s">
        <v>1446</v>
      </c>
      <c r="K182" s="27" t="s">
        <v>213</v>
      </c>
      <c r="L182" s="27">
        <v>93440</v>
      </c>
      <c r="M182" s="28" t="str">
        <f t="shared" si="4"/>
        <v>1592 Euclid Avenue, Los Alamos, CA, 93440</v>
      </c>
      <c r="N182" s="27" t="s">
        <v>1447</v>
      </c>
      <c r="O182" s="27" t="s">
        <v>1448</v>
      </c>
      <c r="P182" s="28">
        <v>805</v>
      </c>
      <c r="Q182" s="28">
        <v>344</v>
      </c>
      <c r="R182" s="28">
        <v>2705</v>
      </c>
      <c r="S182" s="29" t="s">
        <v>1449</v>
      </c>
      <c r="T182" s="28">
        <v>7249</v>
      </c>
    </row>
    <row r="183" spans="1:20" ht="14.25" customHeight="1">
      <c r="A183" s="27" t="s">
        <v>1198</v>
      </c>
      <c r="B183" s="28" t="str">
        <f t="shared" si="0"/>
        <v>Heidi</v>
      </c>
      <c r="C183" s="27" t="s">
        <v>300</v>
      </c>
      <c r="D183" s="27" t="s">
        <v>1450</v>
      </c>
      <c r="E183" s="28" t="str">
        <f t="shared" si="1"/>
        <v>Woody</v>
      </c>
      <c r="F183" s="28" t="str">
        <f t="shared" si="2"/>
        <v>Heidi Woody</v>
      </c>
      <c r="G183" s="27" t="s">
        <v>200</v>
      </c>
      <c r="H183" s="27" t="str">
        <f t="shared" si="3"/>
        <v>Female</v>
      </c>
      <c r="I183" s="27" t="s">
        <v>1451</v>
      </c>
      <c r="J183" s="27" t="s">
        <v>1452</v>
      </c>
      <c r="K183" s="27" t="s">
        <v>706</v>
      </c>
      <c r="L183" s="27">
        <v>17019</v>
      </c>
      <c r="M183" s="28" t="str">
        <f t="shared" si="4"/>
        <v>2927 Saint James Drive, Dillsburg, PA, 17019</v>
      </c>
      <c r="N183" s="27" t="s">
        <v>1453</v>
      </c>
      <c r="O183" s="27" t="s">
        <v>1454</v>
      </c>
      <c r="P183" s="28">
        <v>717</v>
      </c>
      <c r="Q183" s="28">
        <v>502</v>
      </c>
      <c r="R183" s="28">
        <v>2596</v>
      </c>
      <c r="S183" s="29" t="s">
        <v>1455</v>
      </c>
      <c r="T183" s="28">
        <v>389</v>
      </c>
    </row>
    <row r="184" spans="1:20" ht="14.25" customHeight="1">
      <c r="A184" s="27" t="s">
        <v>510</v>
      </c>
      <c r="B184" s="28" t="str">
        <f t="shared" si="0"/>
        <v>George</v>
      </c>
      <c r="C184" s="27" t="s">
        <v>381</v>
      </c>
      <c r="D184" s="27" t="s">
        <v>1456</v>
      </c>
      <c r="E184" s="28" t="str">
        <f t="shared" si="1"/>
        <v>Reynolds</v>
      </c>
      <c r="F184" s="28" t="str">
        <f t="shared" si="2"/>
        <v>George Reynolds</v>
      </c>
      <c r="G184" s="27" t="s">
        <v>210</v>
      </c>
      <c r="H184" s="27" t="str">
        <f t="shared" si="3"/>
        <v>Male</v>
      </c>
      <c r="I184" s="27" t="s">
        <v>1457</v>
      </c>
      <c r="J184" s="27" t="s">
        <v>1458</v>
      </c>
      <c r="K184" s="27" t="s">
        <v>213</v>
      </c>
      <c r="L184" s="27">
        <v>93721</v>
      </c>
      <c r="M184" s="28" t="str">
        <f t="shared" si="4"/>
        <v>342 Heritage Road, Fresno, CA, 93721</v>
      </c>
      <c r="N184" s="27" t="s">
        <v>1459</v>
      </c>
      <c r="O184" s="27" t="s">
        <v>1460</v>
      </c>
      <c r="P184" s="28">
        <v>559</v>
      </c>
      <c r="Q184" s="28">
        <v>750</v>
      </c>
      <c r="R184" s="28">
        <v>6863</v>
      </c>
      <c r="S184" s="29" t="s">
        <v>1461</v>
      </c>
      <c r="T184" s="28">
        <v>2623</v>
      </c>
    </row>
    <row r="185" spans="1:20" ht="14.25" customHeight="1">
      <c r="A185" s="27" t="s">
        <v>1462</v>
      </c>
      <c r="B185" s="28" t="str">
        <f t="shared" si="0"/>
        <v>Marlin</v>
      </c>
      <c r="C185" s="27" t="s">
        <v>292</v>
      </c>
      <c r="D185" s="27" t="s">
        <v>1463</v>
      </c>
      <c r="E185" s="28" t="str">
        <f t="shared" si="1"/>
        <v>Cambridge</v>
      </c>
      <c r="F185" s="28" t="str">
        <f t="shared" si="2"/>
        <v>Marlin Cambridge</v>
      </c>
      <c r="G185" s="27" t="s">
        <v>210</v>
      </c>
      <c r="H185" s="27" t="str">
        <f t="shared" si="3"/>
        <v>Male</v>
      </c>
      <c r="I185" s="27" t="s">
        <v>1464</v>
      </c>
      <c r="J185" s="27" t="s">
        <v>1465</v>
      </c>
      <c r="K185" s="27" t="s">
        <v>469</v>
      </c>
      <c r="L185" s="27">
        <v>43616</v>
      </c>
      <c r="M185" s="28" t="str">
        <f t="shared" si="4"/>
        <v>4128 Still Street, Oregon, OH, 43616</v>
      </c>
      <c r="N185" s="27" t="s">
        <v>1466</v>
      </c>
      <c r="O185" s="27" t="s">
        <v>1467</v>
      </c>
      <c r="P185" s="28">
        <v>419</v>
      </c>
      <c r="Q185" s="28">
        <v>696</v>
      </c>
      <c r="R185" s="28">
        <v>7169</v>
      </c>
      <c r="S185" s="29" t="s">
        <v>1468</v>
      </c>
      <c r="T185" s="28">
        <v>2193</v>
      </c>
    </row>
    <row r="186" spans="1:20" ht="14.25" customHeight="1">
      <c r="A186" s="27" t="s">
        <v>1469</v>
      </c>
      <c r="B186" s="28" t="str">
        <f t="shared" si="0"/>
        <v>Lucy</v>
      </c>
      <c r="C186" s="27" t="s">
        <v>429</v>
      </c>
      <c r="D186" s="27" t="s">
        <v>1470</v>
      </c>
      <c r="E186" s="28" t="str">
        <f t="shared" si="1"/>
        <v>Murray</v>
      </c>
      <c r="F186" s="28" t="str">
        <f t="shared" si="2"/>
        <v>Lucy Murray</v>
      </c>
      <c r="G186" s="27" t="s">
        <v>200</v>
      </c>
      <c r="H186" s="27" t="str">
        <f t="shared" si="3"/>
        <v>Female</v>
      </c>
      <c r="I186" s="27" t="s">
        <v>1471</v>
      </c>
      <c r="J186" s="27" t="s">
        <v>608</v>
      </c>
      <c r="K186" s="27" t="s">
        <v>609</v>
      </c>
      <c r="L186" s="27">
        <v>80202</v>
      </c>
      <c r="M186" s="28" t="str">
        <f t="shared" si="4"/>
        <v>4983 Clay Lick Road, Denver, CO, 80202</v>
      </c>
      <c r="N186" s="27" t="s">
        <v>1472</v>
      </c>
      <c r="O186" s="27" t="s">
        <v>1473</v>
      </c>
      <c r="P186" s="28">
        <v>720</v>
      </c>
      <c r="Q186" s="28">
        <v>530</v>
      </c>
      <c r="R186" s="28">
        <v>1785</v>
      </c>
      <c r="S186" s="29" t="s">
        <v>1474</v>
      </c>
      <c r="T186" s="28">
        <v>527</v>
      </c>
    </row>
    <row r="187" spans="1:20" ht="14.25" customHeight="1">
      <c r="A187" s="27" t="s">
        <v>325</v>
      </c>
      <c r="B187" s="28" t="str">
        <f t="shared" si="0"/>
        <v>Mark</v>
      </c>
      <c r="C187" s="27" t="s">
        <v>226</v>
      </c>
      <c r="D187" s="27" t="s">
        <v>1475</v>
      </c>
      <c r="E187" s="28" t="str">
        <f t="shared" si="1"/>
        <v>Numbers</v>
      </c>
      <c r="F187" s="28" t="str">
        <f t="shared" si="2"/>
        <v>Mark Numbers</v>
      </c>
      <c r="G187" s="27" t="s">
        <v>210</v>
      </c>
      <c r="H187" s="27" t="str">
        <f t="shared" si="3"/>
        <v>Male</v>
      </c>
      <c r="I187" s="27" t="s">
        <v>1476</v>
      </c>
      <c r="J187" s="27" t="s">
        <v>1477</v>
      </c>
      <c r="K187" s="27" t="s">
        <v>368</v>
      </c>
      <c r="L187" s="27">
        <v>33614</v>
      </c>
      <c r="M187" s="28" t="str">
        <f t="shared" si="4"/>
        <v>1046 Saints Alley, Tampa, FL, 33614</v>
      </c>
      <c r="N187" s="27" t="s">
        <v>1478</v>
      </c>
      <c r="O187" s="27" t="s">
        <v>1479</v>
      </c>
      <c r="P187" s="28">
        <v>813</v>
      </c>
      <c r="Q187" s="28">
        <v>774</v>
      </c>
      <c r="R187" s="28">
        <v>9998</v>
      </c>
      <c r="S187" s="29" t="s">
        <v>1480</v>
      </c>
      <c r="T187" s="28">
        <v>156</v>
      </c>
    </row>
    <row r="188" spans="1:20" ht="14.25" customHeight="1">
      <c r="A188" s="27" t="s">
        <v>1481</v>
      </c>
      <c r="B188" s="28" t="str">
        <f t="shared" si="0"/>
        <v>Grover</v>
      </c>
      <c r="C188" s="27" t="s">
        <v>511</v>
      </c>
      <c r="D188" s="27" t="s">
        <v>1482</v>
      </c>
      <c r="E188" s="28" t="str">
        <f t="shared" si="1"/>
        <v>Manning</v>
      </c>
      <c r="F188" s="28" t="str">
        <f t="shared" si="2"/>
        <v>Grover Manning</v>
      </c>
      <c r="G188" s="27" t="s">
        <v>210</v>
      </c>
      <c r="H188" s="27" t="str">
        <f t="shared" si="3"/>
        <v>Male</v>
      </c>
      <c r="I188" s="27" t="s">
        <v>1483</v>
      </c>
      <c r="J188" s="27" t="s">
        <v>832</v>
      </c>
      <c r="K188" s="27" t="s">
        <v>581</v>
      </c>
      <c r="L188" s="27">
        <v>21201</v>
      </c>
      <c r="M188" s="28" t="str">
        <f t="shared" si="4"/>
        <v>2958 Harron Drive, Baltimore, MD, 21201</v>
      </c>
      <c r="N188" s="27" t="s">
        <v>1484</v>
      </c>
      <c r="O188" s="27" t="s">
        <v>1485</v>
      </c>
      <c r="P188" s="28">
        <v>443</v>
      </c>
      <c r="Q188" s="28">
        <v>441</v>
      </c>
      <c r="R188" s="28">
        <v>3108</v>
      </c>
      <c r="S188" s="29" t="s">
        <v>1486</v>
      </c>
      <c r="T188" s="28">
        <v>868</v>
      </c>
    </row>
    <row r="189" spans="1:20" ht="14.25" customHeight="1">
      <c r="A189" s="27" t="s">
        <v>437</v>
      </c>
      <c r="B189" s="28" t="str">
        <f t="shared" si="0"/>
        <v>Patricia</v>
      </c>
      <c r="C189" s="27" t="s">
        <v>381</v>
      </c>
      <c r="D189" s="27" t="s">
        <v>1487</v>
      </c>
      <c r="E189" s="28" t="str">
        <f t="shared" si="1"/>
        <v>Simmons</v>
      </c>
      <c r="F189" s="28" t="str">
        <f t="shared" si="2"/>
        <v>Patricia Simmons</v>
      </c>
      <c r="G189" s="27" t="s">
        <v>200</v>
      </c>
      <c r="H189" s="27" t="str">
        <f t="shared" si="3"/>
        <v>Female</v>
      </c>
      <c r="I189" s="27" t="s">
        <v>1488</v>
      </c>
      <c r="J189" s="27" t="s">
        <v>1489</v>
      </c>
      <c r="K189" s="27" t="s">
        <v>213</v>
      </c>
      <c r="L189" s="27">
        <v>91302</v>
      </c>
      <c r="M189" s="28" t="str">
        <f t="shared" si="4"/>
        <v>1074 Quiet Valley Lane, Calabasas, CA, 91302</v>
      </c>
      <c r="N189" s="27" t="s">
        <v>1490</v>
      </c>
      <c r="O189" s="27" t="s">
        <v>1491</v>
      </c>
      <c r="P189" s="28">
        <v>818</v>
      </c>
      <c r="Q189" s="28">
        <v>871</v>
      </c>
      <c r="R189" s="28">
        <v>5647</v>
      </c>
      <c r="S189" s="29" t="s">
        <v>1492</v>
      </c>
      <c r="T189" s="28">
        <v>81</v>
      </c>
    </row>
    <row r="190" spans="1:20" ht="14.25" customHeight="1">
      <c r="A190" s="27" t="s">
        <v>1493</v>
      </c>
      <c r="B190" s="28" t="str">
        <f t="shared" si="0"/>
        <v>Vivian</v>
      </c>
      <c r="C190" s="27" t="s">
        <v>198</v>
      </c>
      <c r="D190" s="27" t="s">
        <v>1494</v>
      </c>
      <c r="E190" s="28" t="str">
        <f t="shared" si="1"/>
        <v>Rosario</v>
      </c>
      <c r="F190" s="28" t="str">
        <f t="shared" si="2"/>
        <v>Vivian Rosario</v>
      </c>
      <c r="G190" s="27" t="s">
        <v>200</v>
      </c>
      <c r="H190" s="27" t="str">
        <f t="shared" si="3"/>
        <v>Female</v>
      </c>
      <c r="I190" s="27" t="s">
        <v>1495</v>
      </c>
      <c r="J190" s="27" t="s">
        <v>1496</v>
      </c>
      <c r="K190" s="27" t="s">
        <v>368</v>
      </c>
      <c r="L190" s="27">
        <v>33952</v>
      </c>
      <c r="M190" s="28" t="str">
        <f t="shared" si="4"/>
        <v>3892 Lunetta Street, Port Charlotte, FL, 33952</v>
      </c>
      <c r="N190" s="27" t="s">
        <v>1497</v>
      </c>
      <c r="O190" s="27" t="s">
        <v>1498</v>
      </c>
      <c r="P190" s="28">
        <v>941</v>
      </c>
      <c r="Q190" s="28">
        <v>235</v>
      </c>
      <c r="R190" s="28">
        <v>5999</v>
      </c>
      <c r="S190" s="29" t="s">
        <v>1499</v>
      </c>
      <c r="T190" s="28">
        <v>618</v>
      </c>
    </row>
    <row r="191" spans="1:20" ht="14.25" customHeight="1">
      <c r="A191" s="27" t="s">
        <v>783</v>
      </c>
      <c r="B191" s="28" t="str">
        <f t="shared" si="0"/>
        <v>Mary</v>
      </c>
      <c r="C191" s="27" t="s">
        <v>226</v>
      </c>
      <c r="D191" s="27" t="s">
        <v>1500</v>
      </c>
      <c r="E191" s="28" t="str">
        <f t="shared" si="1"/>
        <v>Foltz</v>
      </c>
      <c r="F191" s="28" t="str">
        <f t="shared" si="2"/>
        <v>Mary Foltz</v>
      </c>
      <c r="G191" s="27" t="s">
        <v>200</v>
      </c>
      <c r="H191" s="27" t="str">
        <f t="shared" si="3"/>
        <v>Female</v>
      </c>
      <c r="I191" s="27" t="s">
        <v>1501</v>
      </c>
      <c r="J191" s="27" t="s">
        <v>303</v>
      </c>
      <c r="K191" s="27" t="s">
        <v>304</v>
      </c>
      <c r="L191" s="27">
        <v>2905</v>
      </c>
      <c r="M191" s="28" t="str">
        <f t="shared" si="4"/>
        <v>4096 Diamond Cove, Providence, RI, 2905</v>
      </c>
      <c r="N191" s="27" t="s">
        <v>1502</v>
      </c>
      <c r="O191" s="27" t="s">
        <v>1503</v>
      </c>
      <c r="P191" s="28">
        <v>401</v>
      </c>
      <c r="Q191" s="28">
        <v>350</v>
      </c>
      <c r="R191" s="28">
        <v>1932</v>
      </c>
      <c r="S191" s="29" t="s">
        <v>1504</v>
      </c>
      <c r="T191" s="28">
        <v>318</v>
      </c>
    </row>
    <row r="192" spans="1:20" ht="14.25" customHeight="1">
      <c r="A192" s="27" t="s">
        <v>1505</v>
      </c>
      <c r="B192" s="28" t="str">
        <f t="shared" si="0"/>
        <v>Martin</v>
      </c>
      <c r="C192" s="27" t="s">
        <v>465</v>
      </c>
      <c r="D192" s="27" t="s">
        <v>1506</v>
      </c>
      <c r="E192" s="28" t="str">
        <f t="shared" si="1"/>
        <v>Schaal</v>
      </c>
      <c r="F192" s="28" t="str">
        <f t="shared" si="2"/>
        <v>Martin Schaal</v>
      </c>
      <c r="G192" s="27" t="s">
        <v>210</v>
      </c>
      <c r="H192" s="27" t="str">
        <f t="shared" si="3"/>
        <v>Male</v>
      </c>
      <c r="I192" s="27" t="s">
        <v>1507</v>
      </c>
      <c r="J192" s="27" t="s">
        <v>1508</v>
      </c>
      <c r="K192" s="27" t="s">
        <v>213</v>
      </c>
      <c r="L192" s="27">
        <v>90405</v>
      </c>
      <c r="M192" s="28" t="str">
        <f t="shared" si="4"/>
        <v>2501 Libby Street, Santa Monica, CA, 90405</v>
      </c>
      <c r="N192" s="27" t="s">
        <v>1509</v>
      </c>
      <c r="O192" s="27" t="s">
        <v>1510</v>
      </c>
      <c r="P192" s="28">
        <v>310</v>
      </c>
      <c r="Q192" s="28">
        <v>267</v>
      </c>
      <c r="R192" s="28">
        <v>5199</v>
      </c>
      <c r="S192" s="29" t="s">
        <v>1511</v>
      </c>
      <c r="T192" s="28">
        <v>1277</v>
      </c>
    </row>
    <row r="193" spans="1:20" ht="14.25" customHeight="1">
      <c r="A193" s="27" t="s">
        <v>234</v>
      </c>
      <c r="B193" s="28" t="str">
        <f t="shared" si="0"/>
        <v>John</v>
      </c>
      <c r="C193" s="27" t="s">
        <v>350</v>
      </c>
      <c r="D193" s="27" t="s">
        <v>1512</v>
      </c>
      <c r="E193" s="28" t="str">
        <f t="shared" si="1"/>
        <v>Kile</v>
      </c>
      <c r="F193" s="28" t="str">
        <f t="shared" si="2"/>
        <v>John Kile</v>
      </c>
      <c r="G193" s="27" t="s">
        <v>210</v>
      </c>
      <c r="H193" s="27" t="str">
        <f t="shared" si="3"/>
        <v>Male</v>
      </c>
      <c r="I193" s="27" t="s">
        <v>1513</v>
      </c>
      <c r="J193" s="27" t="s">
        <v>1514</v>
      </c>
      <c r="K193" s="27" t="s">
        <v>958</v>
      </c>
      <c r="L193" s="27">
        <v>5448</v>
      </c>
      <c r="M193" s="28" t="str">
        <f t="shared" si="4"/>
        <v>3832 Selah Way, East Fairfield, VT, 5448</v>
      </c>
      <c r="N193" s="27" t="s">
        <v>1515</v>
      </c>
      <c r="O193" s="27" t="s">
        <v>1516</v>
      </c>
      <c r="P193" s="28">
        <v>802</v>
      </c>
      <c r="Q193" s="28">
        <v>664</v>
      </c>
      <c r="R193" s="28">
        <v>2037</v>
      </c>
      <c r="S193" s="29" t="s">
        <v>1517</v>
      </c>
      <c r="T193" s="28">
        <v>6645</v>
      </c>
    </row>
    <row r="194" spans="1:20" ht="14.25" customHeight="1">
      <c r="A194" s="27" t="s">
        <v>1518</v>
      </c>
      <c r="B194" s="28" t="str">
        <f t="shared" si="0"/>
        <v>Joan</v>
      </c>
      <c r="C194" s="27" t="s">
        <v>198</v>
      </c>
      <c r="D194" s="27" t="s">
        <v>1519</v>
      </c>
      <c r="E194" s="28" t="str">
        <f t="shared" si="1"/>
        <v>Willingham</v>
      </c>
      <c r="F194" s="28" t="str">
        <f t="shared" si="2"/>
        <v>Joan Willingham</v>
      </c>
      <c r="G194" s="27" t="s">
        <v>200</v>
      </c>
      <c r="H194" s="27" t="str">
        <f t="shared" si="3"/>
        <v>Female</v>
      </c>
      <c r="I194" s="27" t="s">
        <v>1520</v>
      </c>
      <c r="J194" s="27" t="s">
        <v>1521</v>
      </c>
      <c r="K194" s="27" t="s">
        <v>1522</v>
      </c>
      <c r="L194" s="27">
        <v>59901</v>
      </c>
      <c r="M194" s="28" t="str">
        <f t="shared" si="4"/>
        <v>4558 Richison Drive, Kalispell, MT, 59901</v>
      </c>
      <c r="N194" s="27" t="s">
        <v>1523</v>
      </c>
      <c r="O194" s="27" t="s">
        <v>1524</v>
      </c>
      <c r="P194" s="28">
        <v>406</v>
      </c>
      <c r="Q194" s="28">
        <v>257</v>
      </c>
      <c r="R194" s="28">
        <v>3839</v>
      </c>
      <c r="S194" s="29" t="s">
        <v>1525</v>
      </c>
      <c r="T194" s="28">
        <v>6503</v>
      </c>
    </row>
    <row r="195" spans="1:20" ht="14.25" customHeight="1">
      <c r="A195" s="27" t="s">
        <v>308</v>
      </c>
      <c r="B195" s="28" t="str">
        <f t="shared" si="0"/>
        <v>Barbara</v>
      </c>
      <c r="C195" s="27" t="s">
        <v>511</v>
      </c>
      <c r="D195" s="27" t="s">
        <v>1526</v>
      </c>
      <c r="E195" s="28" t="str">
        <f t="shared" si="1"/>
        <v>Long</v>
      </c>
      <c r="F195" s="28" t="str">
        <f t="shared" si="2"/>
        <v>Barbara Long</v>
      </c>
      <c r="G195" s="27" t="s">
        <v>200</v>
      </c>
      <c r="H195" s="27" t="str">
        <f t="shared" si="3"/>
        <v>Female</v>
      </c>
      <c r="I195" s="27" t="s">
        <v>1527</v>
      </c>
      <c r="J195" s="27" t="s">
        <v>1528</v>
      </c>
      <c r="K195" s="27" t="s">
        <v>1039</v>
      </c>
      <c r="L195" s="27">
        <v>98932</v>
      </c>
      <c r="M195" s="28" t="str">
        <f t="shared" si="4"/>
        <v>2975 Sun Valley Road, Granger, WA, 98932</v>
      </c>
      <c r="N195" s="27" t="s">
        <v>1529</v>
      </c>
      <c r="O195" s="27" t="s">
        <v>1530</v>
      </c>
      <c r="P195" s="28">
        <v>509</v>
      </c>
      <c r="Q195" s="28">
        <v>854</v>
      </c>
      <c r="R195" s="28">
        <v>4493</v>
      </c>
      <c r="S195" s="29" t="s">
        <v>1531</v>
      </c>
      <c r="T195" s="28">
        <v>9542</v>
      </c>
    </row>
    <row r="196" spans="1:20" ht="14.25" customHeight="1">
      <c r="A196" s="27" t="s">
        <v>639</v>
      </c>
      <c r="B196" s="28" t="str">
        <f t="shared" si="0"/>
        <v>David</v>
      </c>
      <c r="C196" s="27" t="s">
        <v>949</v>
      </c>
      <c r="D196" s="27" t="s">
        <v>1532</v>
      </c>
      <c r="E196" s="28" t="str">
        <f t="shared" si="1"/>
        <v>Stuart</v>
      </c>
      <c r="F196" s="28" t="str">
        <f t="shared" si="2"/>
        <v>David Stuart</v>
      </c>
      <c r="G196" s="27" t="s">
        <v>210</v>
      </c>
      <c r="H196" s="27" t="str">
        <f t="shared" si="3"/>
        <v>Male</v>
      </c>
      <c r="I196" s="27" t="s">
        <v>1533</v>
      </c>
      <c r="J196" s="27" t="s">
        <v>1046</v>
      </c>
      <c r="K196" s="27" t="s">
        <v>203</v>
      </c>
      <c r="L196" s="27">
        <v>60173</v>
      </c>
      <c r="M196" s="28" t="str">
        <f t="shared" si="4"/>
        <v>485 Hog Camp Road, Schaumburg, IL, 60173</v>
      </c>
      <c r="N196" s="27" t="s">
        <v>1534</v>
      </c>
      <c r="O196" s="27" t="s">
        <v>1535</v>
      </c>
      <c r="P196" s="28">
        <v>708</v>
      </c>
      <c r="Q196" s="28">
        <v>525</v>
      </c>
      <c r="R196" s="28">
        <v>4749</v>
      </c>
      <c r="S196" s="29" t="s">
        <v>1536</v>
      </c>
      <c r="T196" s="28">
        <v>1085</v>
      </c>
    </row>
    <row r="197" spans="1:20" ht="14.25" customHeight="1">
      <c r="A197" s="27" t="s">
        <v>1002</v>
      </c>
      <c r="B197" s="28" t="str">
        <f t="shared" si="0"/>
        <v>Ronald</v>
      </c>
      <c r="C197" s="27" t="s">
        <v>381</v>
      </c>
      <c r="D197" s="27" t="s">
        <v>1537</v>
      </c>
      <c r="E197" s="28" t="str">
        <f t="shared" si="1"/>
        <v>Easley</v>
      </c>
      <c r="F197" s="28" t="str">
        <f t="shared" si="2"/>
        <v>Ronald Easley</v>
      </c>
      <c r="G197" s="27" t="s">
        <v>210</v>
      </c>
      <c r="H197" s="27" t="str">
        <f t="shared" si="3"/>
        <v>Male</v>
      </c>
      <c r="I197" s="27" t="s">
        <v>1538</v>
      </c>
      <c r="J197" s="27" t="s">
        <v>1539</v>
      </c>
      <c r="K197" s="27" t="s">
        <v>213</v>
      </c>
      <c r="L197" s="27">
        <v>91362</v>
      </c>
      <c r="M197" s="28" t="str">
        <f t="shared" si="4"/>
        <v>2669 Diane Street, Thousand Oaks, CA, 91362</v>
      </c>
      <c r="N197" s="27" t="s">
        <v>1540</v>
      </c>
      <c r="O197" s="27" t="s">
        <v>1541</v>
      </c>
      <c r="P197" s="28">
        <v>805</v>
      </c>
      <c r="Q197" s="28">
        <v>373</v>
      </c>
      <c r="R197" s="28">
        <v>3889</v>
      </c>
      <c r="S197" s="29" t="s">
        <v>1542</v>
      </c>
      <c r="T197" s="28">
        <v>51</v>
      </c>
    </row>
    <row r="198" spans="1:20" ht="14.25" customHeight="1">
      <c r="A198" s="27" t="s">
        <v>1543</v>
      </c>
      <c r="B198" s="28" t="str">
        <f t="shared" si="0"/>
        <v>Sharon</v>
      </c>
      <c r="C198" s="27" t="s">
        <v>300</v>
      </c>
      <c r="D198" s="27" t="s">
        <v>1544</v>
      </c>
      <c r="E198" s="28" t="str">
        <f t="shared" si="1"/>
        <v>Graham</v>
      </c>
      <c r="F198" s="28" t="str">
        <f t="shared" si="2"/>
        <v>Sharon Graham</v>
      </c>
      <c r="G198" s="27" t="s">
        <v>200</v>
      </c>
      <c r="H198" s="27" t="str">
        <f t="shared" si="3"/>
        <v>Female</v>
      </c>
      <c r="I198" s="27" t="s">
        <v>1545</v>
      </c>
      <c r="J198" s="27" t="s">
        <v>1325</v>
      </c>
      <c r="K198" s="27" t="s">
        <v>272</v>
      </c>
      <c r="L198" s="27">
        <v>10013</v>
      </c>
      <c r="M198" s="28" t="str">
        <f t="shared" si="4"/>
        <v>1017 Redbud Drive, New York, NY, 10013</v>
      </c>
      <c r="N198" s="27" t="s">
        <v>1546</v>
      </c>
      <c r="O198" s="27" t="s">
        <v>1547</v>
      </c>
      <c r="P198" s="28">
        <v>347</v>
      </c>
      <c r="Q198" s="28">
        <v>697</v>
      </c>
      <c r="R198" s="28">
        <v>5792</v>
      </c>
      <c r="S198" s="29" t="s">
        <v>1548</v>
      </c>
      <c r="T198" s="28">
        <v>2125</v>
      </c>
    </row>
    <row r="199" spans="1:20" ht="14.25" customHeight="1">
      <c r="A199" s="27" t="s">
        <v>1549</v>
      </c>
      <c r="B199" s="28" t="str">
        <f t="shared" si="0"/>
        <v>Darryl</v>
      </c>
      <c r="C199" s="27" t="s">
        <v>309</v>
      </c>
      <c r="D199" s="27" t="s">
        <v>1550</v>
      </c>
      <c r="E199" s="28" t="str">
        <f t="shared" si="1"/>
        <v>Ramirez</v>
      </c>
      <c r="F199" s="28" t="str">
        <f t="shared" si="2"/>
        <v>Darryl Ramirez</v>
      </c>
      <c r="G199" s="27" t="s">
        <v>210</v>
      </c>
      <c r="H199" s="27" t="str">
        <f t="shared" si="3"/>
        <v>Male</v>
      </c>
      <c r="I199" s="27" t="s">
        <v>1551</v>
      </c>
      <c r="J199" s="27" t="s">
        <v>1552</v>
      </c>
      <c r="K199" s="27" t="s">
        <v>1553</v>
      </c>
      <c r="L199" s="27">
        <v>72908</v>
      </c>
      <c r="M199" s="28" t="str">
        <f t="shared" si="4"/>
        <v>2860 Midway Road, Fort Smith, AR, 72908</v>
      </c>
      <c r="N199" s="27" t="s">
        <v>1554</v>
      </c>
      <c r="O199" s="27" t="s">
        <v>1555</v>
      </c>
      <c r="P199" s="28">
        <v>479</v>
      </c>
      <c r="Q199" s="28">
        <v>466</v>
      </c>
      <c r="R199" s="28">
        <v>7147</v>
      </c>
      <c r="S199" s="29" t="s">
        <v>1556</v>
      </c>
      <c r="T199" s="28">
        <v>56</v>
      </c>
    </row>
    <row r="200" spans="1:20" ht="14.25" customHeight="1">
      <c r="A200" s="27" t="s">
        <v>1557</v>
      </c>
      <c r="B200" s="28" t="str">
        <f t="shared" si="0"/>
        <v>Anne</v>
      </c>
      <c r="C200" s="27" t="s">
        <v>235</v>
      </c>
      <c r="D200" s="27" t="s">
        <v>1558</v>
      </c>
      <c r="E200" s="28" t="str">
        <f t="shared" si="1"/>
        <v>Zamora</v>
      </c>
      <c r="F200" s="28" t="str">
        <f t="shared" si="2"/>
        <v>Anne Zamora</v>
      </c>
      <c r="G200" s="27" t="s">
        <v>200</v>
      </c>
      <c r="H200" s="27" t="str">
        <f t="shared" si="3"/>
        <v>Female</v>
      </c>
      <c r="I200" s="27" t="s">
        <v>1559</v>
      </c>
      <c r="J200" s="27" t="s">
        <v>1005</v>
      </c>
      <c r="K200" s="27" t="s">
        <v>491</v>
      </c>
      <c r="L200" s="27">
        <v>55415</v>
      </c>
      <c r="M200" s="28" t="str">
        <f t="shared" si="4"/>
        <v>2415 Willison Street, Minneapolis, MN, 55415</v>
      </c>
      <c r="N200" s="27" t="s">
        <v>1560</v>
      </c>
      <c r="O200" s="27" t="s">
        <v>1561</v>
      </c>
      <c r="P200" s="28">
        <v>763</v>
      </c>
      <c r="Q200" s="28">
        <v>232</v>
      </c>
      <c r="R200" s="28">
        <v>7639</v>
      </c>
      <c r="S200" s="29" t="s">
        <v>1562</v>
      </c>
      <c r="T200" s="28">
        <v>307</v>
      </c>
    </row>
    <row r="201" spans="1:20" ht="14.25" customHeight="1">
      <c r="A201" s="27" t="s">
        <v>1563</v>
      </c>
      <c r="B201" s="28" t="str">
        <f t="shared" si="0"/>
        <v>Isaiah</v>
      </c>
      <c r="C201" s="27" t="s">
        <v>511</v>
      </c>
      <c r="D201" s="27" t="s">
        <v>1564</v>
      </c>
      <c r="E201" s="28" t="str">
        <f t="shared" si="1"/>
        <v>Buckner</v>
      </c>
      <c r="F201" s="28" t="str">
        <f t="shared" si="2"/>
        <v>Isaiah Buckner</v>
      </c>
      <c r="G201" s="27" t="s">
        <v>210</v>
      </c>
      <c r="H201" s="27" t="str">
        <f t="shared" si="3"/>
        <v>Male</v>
      </c>
      <c r="I201" s="27" t="s">
        <v>1565</v>
      </c>
      <c r="J201" s="27" t="s">
        <v>1508</v>
      </c>
      <c r="K201" s="27" t="s">
        <v>213</v>
      </c>
      <c r="L201" s="27">
        <v>90401</v>
      </c>
      <c r="M201" s="28" t="str">
        <f t="shared" si="4"/>
        <v>1812 Armbrester Drive, Santa Monica, CA, 90401</v>
      </c>
      <c r="N201" s="27" t="s">
        <v>1566</v>
      </c>
      <c r="O201" s="27" t="s">
        <v>1567</v>
      </c>
      <c r="P201" s="28">
        <v>310</v>
      </c>
      <c r="Q201" s="28">
        <v>458</v>
      </c>
      <c r="R201" s="28">
        <v>2929</v>
      </c>
      <c r="S201" s="29" t="s">
        <v>1568</v>
      </c>
      <c r="T201" s="28">
        <v>4498</v>
      </c>
    </row>
    <row r="202" spans="1:20" ht="14.25" customHeight="1">
      <c r="A202" s="27" t="s">
        <v>1569</v>
      </c>
      <c r="B202" s="28" t="str">
        <f t="shared" si="0"/>
        <v>Angie</v>
      </c>
      <c r="C202" s="27" t="s">
        <v>350</v>
      </c>
      <c r="D202" s="27" t="s">
        <v>1570</v>
      </c>
      <c r="E202" s="28" t="str">
        <f t="shared" si="1"/>
        <v>Glassman</v>
      </c>
      <c r="F202" s="28" t="str">
        <f t="shared" si="2"/>
        <v>Angie Glassman</v>
      </c>
      <c r="G202" s="27" t="s">
        <v>200</v>
      </c>
      <c r="H202" s="27" t="str">
        <f t="shared" si="3"/>
        <v>Female</v>
      </c>
      <c r="I202" s="27" t="s">
        <v>1571</v>
      </c>
      <c r="J202" s="27" t="s">
        <v>1572</v>
      </c>
      <c r="K202" s="27" t="s">
        <v>424</v>
      </c>
      <c r="L202" s="27">
        <v>28560</v>
      </c>
      <c r="M202" s="28" t="str">
        <f t="shared" si="4"/>
        <v>4886 Edwards Street, New Bern, NC, 28560</v>
      </c>
      <c r="N202" s="27" t="s">
        <v>1573</v>
      </c>
      <c r="O202" s="27" t="s">
        <v>1574</v>
      </c>
      <c r="P202" s="28">
        <v>252</v>
      </c>
      <c r="Q202" s="28">
        <v>636</v>
      </c>
      <c r="R202" s="28">
        <v>3151</v>
      </c>
      <c r="S202" s="29" t="s">
        <v>1575</v>
      </c>
      <c r="T202" s="28">
        <v>4735</v>
      </c>
    </row>
    <row r="203" spans="1:20" ht="14.25" customHeight="1">
      <c r="A203" s="27" t="s">
        <v>1576</v>
      </c>
      <c r="B203" s="28" t="str">
        <f t="shared" si="0"/>
        <v>Stephen</v>
      </c>
      <c r="C203" s="27" t="s">
        <v>235</v>
      </c>
      <c r="D203" s="27" t="s">
        <v>1577</v>
      </c>
      <c r="E203" s="28" t="str">
        <f t="shared" si="1"/>
        <v>Bernier</v>
      </c>
      <c r="F203" s="28" t="str">
        <f t="shared" si="2"/>
        <v>Stephen Bernier</v>
      </c>
      <c r="G203" s="27" t="s">
        <v>210</v>
      </c>
      <c r="H203" s="27" t="str">
        <f t="shared" si="3"/>
        <v>Male</v>
      </c>
      <c r="I203" s="27" t="s">
        <v>1578</v>
      </c>
      <c r="J203" s="27" t="s">
        <v>1579</v>
      </c>
      <c r="K203" s="27" t="s">
        <v>368</v>
      </c>
      <c r="L203" s="27">
        <v>33566</v>
      </c>
      <c r="M203" s="28" t="str">
        <f t="shared" si="4"/>
        <v>547 Saints Alley, Plant City, FL, 33566</v>
      </c>
      <c r="N203" s="27" t="s">
        <v>1580</v>
      </c>
      <c r="O203" s="27" t="s">
        <v>1581</v>
      </c>
      <c r="P203" s="28">
        <v>813</v>
      </c>
      <c r="Q203" s="28">
        <v>545</v>
      </c>
      <c r="R203" s="28">
        <v>6399</v>
      </c>
      <c r="S203" s="29" t="s">
        <v>1582</v>
      </c>
      <c r="T203" s="28">
        <v>331</v>
      </c>
    </row>
    <row r="204" spans="1:20" ht="14.25" customHeight="1">
      <c r="A204" s="27" t="s">
        <v>1583</v>
      </c>
      <c r="B204" s="28" t="str">
        <f t="shared" si="0"/>
        <v>Dorothy</v>
      </c>
      <c r="C204" s="27" t="s">
        <v>533</v>
      </c>
      <c r="D204" s="27" t="s">
        <v>1584</v>
      </c>
      <c r="E204" s="28" t="str">
        <f t="shared" si="1"/>
        <v>Ransom</v>
      </c>
      <c r="F204" s="28" t="str">
        <f t="shared" si="2"/>
        <v>Dorothy Ransom</v>
      </c>
      <c r="G204" s="27" t="s">
        <v>200</v>
      </c>
      <c r="H204" s="27" t="str">
        <f t="shared" si="3"/>
        <v>Female</v>
      </c>
      <c r="I204" s="27" t="s">
        <v>1585</v>
      </c>
      <c r="J204" s="27" t="s">
        <v>1586</v>
      </c>
      <c r="K204" s="27" t="s">
        <v>1587</v>
      </c>
      <c r="L204" s="27">
        <v>19720</v>
      </c>
      <c r="M204" s="28" t="str">
        <f t="shared" si="4"/>
        <v>2933 Argonne Street, New Castle, DE, 19720</v>
      </c>
      <c r="N204" s="27" t="s">
        <v>1588</v>
      </c>
      <c r="O204" s="27" t="s">
        <v>1589</v>
      </c>
      <c r="P204" s="28">
        <v>302</v>
      </c>
      <c r="Q204" s="28">
        <v>328</v>
      </c>
      <c r="R204" s="28">
        <v>5806</v>
      </c>
      <c r="S204" s="29" t="s">
        <v>1590</v>
      </c>
      <c r="T204" s="28">
        <v>695</v>
      </c>
    </row>
    <row r="205" spans="1:20" ht="14.25" customHeight="1">
      <c r="A205" s="27" t="s">
        <v>1591</v>
      </c>
      <c r="B205" s="28" t="str">
        <f t="shared" si="0"/>
        <v>Genevieve</v>
      </c>
      <c r="C205" s="27" t="s">
        <v>429</v>
      </c>
      <c r="D205" s="27" t="s">
        <v>1592</v>
      </c>
      <c r="E205" s="28" t="str">
        <f t="shared" si="1"/>
        <v>Taranto</v>
      </c>
      <c r="F205" s="28" t="str">
        <f t="shared" si="2"/>
        <v>Genevieve Taranto</v>
      </c>
      <c r="G205" s="27" t="s">
        <v>200</v>
      </c>
      <c r="H205" s="27" t="str">
        <f t="shared" si="3"/>
        <v>Female</v>
      </c>
      <c r="I205" s="27" t="s">
        <v>1593</v>
      </c>
      <c r="J205" s="27" t="s">
        <v>1594</v>
      </c>
      <c r="K205" s="27" t="s">
        <v>581</v>
      </c>
      <c r="L205" s="27">
        <v>21811</v>
      </c>
      <c r="M205" s="28" t="str">
        <f t="shared" si="4"/>
        <v>4477 Marshall Street, Berlin, MD, 21811</v>
      </c>
      <c r="N205" s="27" t="s">
        <v>1595</v>
      </c>
      <c r="O205" s="27" t="s">
        <v>1596</v>
      </c>
      <c r="P205" s="28">
        <v>410</v>
      </c>
      <c r="Q205" s="28">
        <v>629</v>
      </c>
      <c r="R205" s="28">
        <v>583</v>
      </c>
      <c r="S205" s="29" t="s">
        <v>1597</v>
      </c>
      <c r="T205" s="28">
        <v>168</v>
      </c>
    </row>
    <row r="206" spans="1:20" ht="14.25" customHeight="1">
      <c r="A206" s="27" t="s">
        <v>737</v>
      </c>
      <c r="B206" s="28" t="str">
        <f t="shared" si="0"/>
        <v>Edward</v>
      </c>
      <c r="C206" s="27" t="s">
        <v>309</v>
      </c>
      <c r="D206" s="27" t="s">
        <v>1598</v>
      </c>
      <c r="E206" s="28" t="str">
        <f t="shared" si="1"/>
        <v>Kinner</v>
      </c>
      <c r="F206" s="28" t="str">
        <f t="shared" si="2"/>
        <v>Edward Kinner</v>
      </c>
      <c r="G206" s="27" t="s">
        <v>210</v>
      </c>
      <c r="H206" s="27" t="str">
        <f t="shared" si="3"/>
        <v>Male</v>
      </c>
      <c r="I206" s="27" t="s">
        <v>1599</v>
      </c>
      <c r="J206" s="27" t="s">
        <v>1552</v>
      </c>
      <c r="K206" s="27" t="s">
        <v>1553</v>
      </c>
      <c r="L206" s="27">
        <v>72908</v>
      </c>
      <c r="M206" s="28" t="str">
        <f t="shared" si="4"/>
        <v>518 Midway Road, Fort Smith, AR, 72908</v>
      </c>
      <c r="N206" s="27" t="s">
        <v>1600</v>
      </c>
      <c r="O206" s="27" t="s">
        <v>1601</v>
      </c>
      <c r="P206" s="28">
        <v>479</v>
      </c>
      <c r="Q206" s="28">
        <v>461</v>
      </c>
      <c r="R206" s="28">
        <v>1718</v>
      </c>
      <c r="S206" s="29" t="s">
        <v>1602</v>
      </c>
      <c r="T206" s="28">
        <v>98</v>
      </c>
    </row>
    <row r="207" spans="1:20" ht="14.25" customHeight="1">
      <c r="A207" s="27" t="s">
        <v>251</v>
      </c>
      <c r="B207" s="28" t="str">
        <f t="shared" si="0"/>
        <v>Diane</v>
      </c>
      <c r="C207" s="27" t="s">
        <v>198</v>
      </c>
      <c r="D207" s="27" t="s">
        <v>1603</v>
      </c>
      <c r="E207" s="28" t="str">
        <f t="shared" si="1"/>
        <v>Figueroa</v>
      </c>
      <c r="F207" s="28" t="str">
        <f t="shared" si="2"/>
        <v>Diane Figueroa</v>
      </c>
      <c r="G207" s="27" t="s">
        <v>200</v>
      </c>
      <c r="H207" s="27" t="str">
        <f t="shared" si="3"/>
        <v>Female</v>
      </c>
      <c r="I207" s="27" t="s">
        <v>1604</v>
      </c>
      <c r="J207" s="27" t="s">
        <v>1605</v>
      </c>
      <c r="K207" s="27" t="s">
        <v>230</v>
      </c>
      <c r="L207" s="27">
        <v>22101</v>
      </c>
      <c r="M207" s="28" t="str">
        <f t="shared" si="4"/>
        <v>4050 Perine Street, Mclean, VA, 22101</v>
      </c>
      <c r="N207" s="27" t="s">
        <v>1606</v>
      </c>
      <c r="O207" s="27" t="s">
        <v>1607</v>
      </c>
      <c r="P207" s="28">
        <v>703</v>
      </c>
      <c r="Q207" s="28">
        <v>762</v>
      </c>
      <c r="R207" s="28">
        <v>541</v>
      </c>
      <c r="S207" s="29" t="s">
        <v>1608</v>
      </c>
      <c r="T207" s="28">
        <v>840</v>
      </c>
    </row>
    <row r="208" spans="1:20" ht="14.25" customHeight="1">
      <c r="A208" s="27" t="s">
        <v>1609</v>
      </c>
      <c r="B208" s="28" t="str">
        <f t="shared" si="0"/>
        <v>Phyllis</v>
      </c>
      <c r="C208" s="27" t="s">
        <v>350</v>
      </c>
      <c r="D208" s="27" t="s">
        <v>578</v>
      </c>
      <c r="E208" s="28" t="str">
        <f t="shared" si="1"/>
        <v>Brown</v>
      </c>
      <c r="F208" s="28" t="str">
        <f t="shared" si="2"/>
        <v>Phyllis Brown</v>
      </c>
      <c r="G208" s="27" t="s">
        <v>200</v>
      </c>
      <c r="H208" s="27" t="str">
        <f t="shared" si="3"/>
        <v>Female</v>
      </c>
      <c r="I208" s="27" t="s">
        <v>1610</v>
      </c>
      <c r="J208" s="27" t="s">
        <v>1611</v>
      </c>
      <c r="K208" s="27" t="s">
        <v>1612</v>
      </c>
      <c r="L208" s="27">
        <v>20016</v>
      </c>
      <c r="M208" s="28" t="str">
        <f t="shared" si="4"/>
        <v>2236 Massachusetts Avenue, Washington, DC, 20016</v>
      </c>
      <c r="N208" s="27" t="s">
        <v>1613</v>
      </c>
      <c r="O208" s="27" t="s">
        <v>1614</v>
      </c>
      <c r="P208" s="28">
        <v>202</v>
      </c>
      <c r="Q208" s="28">
        <v>686</v>
      </c>
      <c r="R208" s="28">
        <v>6356</v>
      </c>
      <c r="S208" s="29" t="s">
        <v>1615</v>
      </c>
      <c r="T208" s="28">
        <v>8910</v>
      </c>
    </row>
    <row r="209" spans="1:20" ht="14.25" customHeight="1">
      <c r="A209" s="27" t="s">
        <v>1616</v>
      </c>
      <c r="B209" s="28" t="str">
        <f t="shared" si="0"/>
        <v>Todd</v>
      </c>
      <c r="C209" s="27" t="s">
        <v>511</v>
      </c>
      <c r="D209" s="27" t="s">
        <v>1617</v>
      </c>
      <c r="E209" s="28" t="str">
        <f t="shared" si="1"/>
        <v>Hooker</v>
      </c>
      <c r="F209" s="28" t="str">
        <f t="shared" si="2"/>
        <v>Todd Hooker</v>
      </c>
      <c r="G209" s="27" t="s">
        <v>210</v>
      </c>
      <c r="H209" s="27" t="str">
        <f t="shared" si="3"/>
        <v>Male</v>
      </c>
      <c r="I209" s="27" t="s">
        <v>1618</v>
      </c>
      <c r="J209" s="27" t="s">
        <v>468</v>
      </c>
      <c r="K209" s="27" t="s">
        <v>469</v>
      </c>
      <c r="L209" s="27">
        <v>43215</v>
      </c>
      <c r="M209" s="28" t="str">
        <f t="shared" si="4"/>
        <v>3164 Collins Avenue, Columbus, OH, 43215</v>
      </c>
      <c r="N209" s="27" t="s">
        <v>1619</v>
      </c>
      <c r="O209" s="27" t="s">
        <v>1620</v>
      </c>
      <c r="P209" s="28">
        <v>614</v>
      </c>
      <c r="Q209" s="28">
        <v>782</v>
      </c>
      <c r="R209" s="28">
        <v>6925</v>
      </c>
      <c r="S209" s="29" t="s">
        <v>1621</v>
      </c>
      <c r="T209" s="28">
        <v>7779</v>
      </c>
    </row>
    <row r="210" spans="1:20" ht="14.25" customHeight="1">
      <c r="A210" s="27" t="s">
        <v>1622</v>
      </c>
      <c r="B210" s="28" t="str">
        <f t="shared" si="0"/>
        <v>Rhea</v>
      </c>
      <c r="C210" s="27" t="s">
        <v>465</v>
      </c>
      <c r="D210" s="27" t="s">
        <v>1623</v>
      </c>
      <c r="E210" s="28" t="str">
        <f t="shared" si="1"/>
        <v>Dick</v>
      </c>
      <c r="F210" s="28" t="str">
        <f t="shared" si="2"/>
        <v>Rhea Dick</v>
      </c>
      <c r="G210" s="27" t="s">
        <v>200</v>
      </c>
      <c r="H210" s="27" t="str">
        <f t="shared" si="3"/>
        <v>Female</v>
      </c>
      <c r="I210" s="27" t="s">
        <v>1624</v>
      </c>
      <c r="J210" s="27" t="s">
        <v>1625</v>
      </c>
      <c r="K210" s="27" t="s">
        <v>329</v>
      </c>
      <c r="L210" s="27">
        <v>48075</v>
      </c>
      <c r="M210" s="28" t="str">
        <f t="shared" si="4"/>
        <v>3813 Prudence Street, Southfield, MI, 48075</v>
      </c>
      <c r="N210" s="27" t="s">
        <v>1626</v>
      </c>
      <c r="O210" s="27" t="s">
        <v>1627</v>
      </c>
      <c r="P210" s="28">
        <v>313</v>
      </c>
      <c r="Q210" s="28">
        <v>321</v>
      </c>
      <c r="R210" s="28">
        <v>8117</v>
      </c>
      <c r="S210" s="29" t="s">
        <v>1628</v>
      </c>
      <c r="T210" s="28">
        <v>105</v>
      </c>
    </row>
    <row r="211" spans="1:20" ht="14.25" customHeight="1">
      <c r="A211" s="27" t="s">
        <v>1125</v>
      </c>
      <c r="B211" s="28" t="str">
        <f t="shared" si="0"/>
        <v>Teresa</v>
      </c>
      <c r="C211" s="27" t="s">
        <v>465</v>
      </c>
      <c r="D211" s="27" t="s">
        <v>1629</v>
      </c>
      <c r="E211" s="28" t="str">
        <f t="shared" si="1"/>
        <v>Payne</v>
      </c>
      <c r="F211" s="28" t="str">
        <f t="shared" si="2"/>
        <v>Teresa Payne</v>
      </c>
      <c r="G211" s="27" t="s">
        <v>200</v>
      </c>
      <c r="H211" s="27" t="str">
        <f t="shared" si="3"/>
        <v>Female</v>
      </c>
      <c r="I211" s="27" t="s">
        <v>1630</v>
      </c>
      <c r="J211" s="27" t="s">
        <v>1631</v>
      </c>
      <c r="K211" s="27" t="s">
        <v>230</v>
      </c>
      <c r="L211" s="27">
        <v>23060</v>
      </c>
      <c r="M211" s="28" t="str">
        <f t="shared" si="4"/>
        <v>3200 Melody Lane, Glen Allen, VA, 23060</v>
      </c>
      <c r="N211" s="27" t="s">
        <v>1632</v>
      </c>
      <c r="O211" s="27" t="s">
        <v>1633</v>
      </c>
      <c r="P211" s="28">
        <v>804</v>
      </c>
      <c r="Q211" s="28">
        <v>349</v>
      </c>
      <c r="R211" s="28">
        <v>2459</v>
      </c>
      <c r="S211" s="29" t="s">
        <v>1634</v>
      </c>
      <c r="T211" s="28">
        <v>61</v>
      </c>
    </row>
    <row r="212" spans="1:20" ht="14.25" customHeight="1">
      <c r="A212" s="27" t="s">
        <v>1635</v>
      </c>
      <c r="B212" s="28" t="str">
        <f t="shared" si="0"/>
        <v>Shawn</v>
      </c>
      <c r="C212" s="27" t="s">
        <v>226</v>
      </c>
      <c r="D212" s="27" t="s">
        <v>1636</v>
      </c>
      <c r="E212" s="28" t="str">
        <f t="shared" si="1"/>
        <v>Solomon</v>
      </c>
      <c r="F212" s="28" t="str">
        <f t="shared" si="2"/>
        <v>Shawn Solomon</v>
      </c>
      <c r="G212" s="27" t="s">
        <v>210</v>
      </c>
      <c r="H212" s="27" t="str">
        <f t="shared" si="3"/>
        <v>Male</v>
      </c>
      <c r="I212" s="27" t="s">
        <v>1637</v>
      </c>
      <c r="J212" s="27" t="s">
        <v>1638</v>
      </c>
      <c r="K212" s="27" t="s">
        <v>272</v>
      </c>
      <c r="L212" s="27">
        <v>13122</v>
      </c>
      <c r="M212" s="28" t="str">
        <f t="shared" si="4"/>
        <v>258 Confederate Drive, New Woodstock, NY, 13122</v>
      </c>
      <c r="N212" s="27" t="s">
        <v>1639</v>
      </c>
      <c r="O212" s="27" t="s">
        <v>1640</v>
      </c>
      <c r="P212" s="28">
        <v>315</v>
      </c>
      <c r="Q212" s="28">
        <v>662</v>
      </c>
      <c r="R212" s="28">
        <v>5924</v>
      </c>
      <c r="S212" s="29" t="s">
        <v>1641</v>
      </c>
      <c r="T212" s="28">
        <v>546</v>
      </c>
    </row>
    <row r="213" spans="1:20" ht="14.25" customHeight="1">
      <c r="A213" s="27" t="s">
        <v>1642</v>
      </c>
      <c r="B213" s="28" t="str">
        <f t="shared" si="0"/>
        <v>Leonard</v>
      </c>
      <c r="C213" s="27" t="s">
        <v>438</v>
      </c>
      <c r="D213" s="27" t="s">
        <v>1643</v>
      </c>
      <c r="E213" s="28" t="str">
        <f t="shared" si="1"/>
        <v>Connolly</v>
      </c>
      <c r="F213" s="28" t="str">
        <f t="shared" si="2"/>
        <v>Leonard Connolly</v>
      </c>
      <c r="G213" s="27" t="s">
        <v>210</v>
      </c>
      <c r="H213" s="27" t="str">
        <f t="shared" si="3"/>
        <v>Male</v>
      </c>
      <c r="I213" s="27" t="s">
        <v>1644</v>
      </c>
      <c r="J213" s="27" t="s">
        <v>1645</v>
      </c>
      <c r="K213" s="27" t="s">
        <v>706</v>
      </c>
      <c r="L213" s="27">
        <v>18974</v>
      </c>
      <c r="M213" s="28" t="str">
        <f t="shared" si="4"/>
        <v>1601 Quincy Street, Warminster, PA, 18974</v>
      </c>
      <c r="N213" s="27" t="s">
        <v>1646</v>
      </c>
      <c r="O213" s="27" t="s">
        <v>1647</v>
      </c>
      <c r="P213" s="28">
        <v>267</v>
      </c>
      <c r="Q213" s="28">
        <v>497</v>
      </c>
      <c r="R213" s="28">
        <v>5517</v>
      </c>
      <c r="S213" s="29" t="s">
        <v>1648</v>
      </c>
      <c r="T213" s="28">
        <v>7118</v>
      </c>
    </row>
    <row r="214" spans="1:20" ht="14.25" customHeight="1">
      <c r="A214" s="27" t="s">
        <v>1649</v>
      </c>
      <c r="B214" s="28" t="str">
        <f t="shared" si="0"/>
        <v>Beulah</v>
      </c>
      <c r="C214" s="27" t="s">
        <v>226</v>
      </c>
      <c r="D214" s="27" t="s">
        <v>1650</v>
      </c>
      <c r="E214" s="28" t="str">
        <f t="shared" si="1"/>
        <v>Garnett</v>
      </c>
      <c r="F214" s="28" t="str">
        <f t="shared" si="2"/>
        <v>Beulah Garnett</v>
      </c>
      <c r="G214" s="27" t="s">
        <v>200</v>
      </c>
      <c r="H214" s="27" t="str">
        <f t="shared" si="3"/>
        <v>Female</v>
      </c>
      <c r="I214" s="27" t="s">
        <v>1651</v>
      </c>
      <c r="J214" s="27" t="s">
        <v>1652</v>
      </c>
      <c r="K214" s="27" t="s">
        <v>650</v>
      </c>
      <c r="L214" s="27">
        <v>73102</v>
      </c>
      <c r="M214" s="28" t="str">
        <f t="shared" si="4"/>
        <v>3843 Musgrave Street, Oklahoma City, OK, 73102</v>
      </c>
      <c r="N214" s="27" t="s">
        <v>1653</v>
      </c>
      <c r="O214" s="27" t="s">
        <v>1654</v>
      </c>
      <c r="P214" s="28">
        <v>405</v>
      </c>
      <c r="Q214" s="28">
        <v>232</v>
      </c>
      <c r="R214" s="28">
        <v>5203</v>
      </c>
      <c r="S214" s="29" t="s">
        <v>1655</v>
      </c>
      <c r="T214" s="28">
        <v>6160</v>
      </c>
    </row>
    <row r="215" spans="1:20" ht="14.25" customHeight="1">
      <c r="A215" s="27" t="s">
        <v>487</v>
      </c>
      <c r="B215" s="28" t="str">
        <f t="shared" si="0"/>
        <v>Gene</v>
      </c>
      <c r="C215" s="27" t="s">
        <v>465</v>
      </c>
      <c r="D215" s="27" t="s">
        <v>1656</v>
      </c>
      <c r="E215" s="28" t="str">
        <f t="shared" si="1"/>
        <v>Yelle</v>
      </c>
      <c r="F215" s="28" t="str">
        <f t="shared" si="2"/>
        <v>Gene Yelle</v>
      </c>
      <c r="G215" s="27" t="s">
        <v>210</v>
      </c>
      <c r="H215" s="27" t="str">
        <f t="shared" si="3"/>
        <v>Male</v>
      </c>
      <c r="I215" s="27" t="s">
        <v>1657</v>
      </c>
      <c r="J215" s="27" t="s">
        <v>1658</v>
      </c>
      <c r="K215" s="27" t="s">
        <v>345</v>
      </c>
      <c r="L215" s="27">
        <v>38115</v>
      </c>
      <c r="M215" s="28" t="str">
        <f t="shared" si="4"/>
        <v>3303 Woodridge Lane, Memphis, TN, 38115</v>
      </c>
      <c r="N215" s="27" t="s">
        <v>1659</v>
      </c>
      <c r="O215" s="27" t="s">
        <v>1660</v>
      </c>
      <c r="P215" s="28">
        <v>901</v>
      </c>
      <c r="Q215" s="28">
        <v>312</v>
      </c>
      <c r="R215" s="28">
        <v>4432</v>
      </c>
      <c r="S215" s="29" t="s">
        <v>1661</v>
      </c>
      <c r="T215" s="28">
        <v>537</v>
      </c>
    </row>
    <row r="216" spans="1:20" ht="14.25" customHeight="1">
      <c r="A216" s="27" t="s">
        <v>283</v>
      </c>
      <c r="B216" s="28" t="str">
        <f t="shared" si="0"/>
        <v>Shannon</v>
      </c>
      <c r="C216" s="27" t="s">
        <v>533</v>
      </c>
      <c r="D216" s="27" t="s">
        <v>1662</v>
      </c>
      <c r="E216" s="28" t="str">
        <f t="shared" si="1"/>
        <v>Akers</v>
      </c>
      <c r="F216" s="28" t="str">
        <f t="shared" si="2"/>
        <v>Shannon Akers</v>
      </c>
      <c r="G216" s="27" t="s">
        <v>200</v>
      </c>
      <c r="H216" s="27" t="str">
        <f t="shared" si="3"/>
        <v>Female</v>
      </c>
      <c r="I216" s="27" t="s">
        <v>1663</v>
      </c>
      <c r="J216" s="27" t="s">
        <v>1664</v>
      </c>
      <c r="K216" s="27" t="s">
        <v>650</v>
      </c>
      <c r="L216" s="27">
        <v>73942</v>
      </c>
      <c r="M216" s="28" t="str">
        <f t="shared" si="4"/>
        <v>4823 Simpson Square, Guymon, OK, 73942</v>
      </c>
      <c r="N216" s="27" t="s">
        <v>1665</v>
      </c>
      <c r="O216" s="27" t="s">
        <v>1666</v>
      </c>
      <c r="P216" s="28">
        <v>580</v>
      </c>
      <c r="Q216" s="28">
        <v>643</v>
      </c>
      <c r="R216" s="28">
        <v>5025</v>
      </c>
      <c r="S216" s="29" t="s">
        <v>1667</v>
      </c>
      <c r="T216" s="28">
        <v>8780</v>
      </c>
    </row>
    <row r="217" spans="1:20" ht="14.25" customHeight="1">
      <c r="A217" s="27" t="s">
        <v>357</v>
      </c>
      <c r="B217" s="28" t="str">
        <f t="shared" si="0"/>
        <v>James</v>
      </c>
      <c r="C217" s="27" t="s">
        <v>235</v>
      </c>
      <c r="D217" s="27" t="s">
        <v>1668</v>
      </c>
      <c r="E217" s="28" t="str">
        <f t="shared" si="1"/>
        <v>Mccue</v>
      </c>
      <c r="F217" s="28" t="str">
        <f t="shared" si="2"/>
        <v>James Mccue</v>
      </c>
      <c r="G217" s="27" t="s">
        <v>210</v>
      </c>
      <c r="H217" s="27" t="str">
        <f t="shared" si="3"/>
        <v>Male</v>
      </c>
      <c r="I217" s="27" t="s">
        <v>1669</v>
      </c>
      <c r="J217" s="27" t="s">
        <v>1586</v>
      </c>
      <c r="K217" s="27" t="s">
        <v>1587</v>
      </c>
      <c r="L217" s="27">
        <v>19720</v>
      </c>
      <c r="M217" s="28" t="str">
        <f t="shared" si="4"/>
        <v>844 Argonne Street, New Castle, DE, 19720</v>
      </c>
      <c r="N217" s="27" t="s">
        <v>1670</v>
      </c>
      <c r="O217" s="27" t="s">
        <v>1671</v>
      </c>
      <c r="P217" s="28">
        <v>302</v>
      </c>
      <c r="Q217" s="28">
        <v>323</v>
      </c>
      <c r="R217" s="28">
        <v>7123</v>
      </c>
      <c r="S217" s="29" t="s">
        <v>1672</v>
      </c>
      <c r="T217" s="28">
        <v>111</v>
      </c>
    </row>
    <row r="218" spans="1:20" ht="14.25" customHeight="1">
      <c r="A218" s="27" t="s">
        <v>1673</v>
      </c>
      <c r="B218" s="28" t="str">
        <f t="shared" si="0"/>
        <v>Fernando</v>
      </c>
      <c r="C218" s="27" t="s">
        <v>198</v>
      </c>
      <c r="D218" s="27" t="s">
        <v>1674</v>
      </c>
      <c r="E218" s="28" t="str">
        <f t="shared" si="1"/>
        <v>West</v>
      </c>
      <c r="F218" s="28" t="str">
        <f t="shared" si="2"/>
        <v>Fernando West</v>
      </c>
      <c r="G218" s="27" t="s">
        <v>210</v>
      </c>
      <c r="H218" s="27" t="str">
        <f t="shared" si="3"/>
        <v>Male</v>
      </c>
      <c r="I218" s="27" t="s">
        <v>1675</v>
      </c>
      <c r="J218" s="27" t="s">
        <v>1676</v>
      </c>
      <c r="K218" s="27" t="s">
        <v>213</v>
      </c>
      <c r="L218" s="27">
        <v>94612</v>
      </c>
      <c r="M218" s="28" t="str">
        <f t="shared" si="4"/>
        <v>3195 Davis Avenue, Oakland, CA, 94612</v>
      </c>
      <c r="N218" s="27" t="s">
        <v>1677</v>
      </c>
      <c r="O218" s="27" t="s">
        <v>1678</v>
      </c>
      <c r="P218" s="28">
        <v>707</v>
      </c>
      <c r="Q218" s="28">
        <v>710</v>
      </c>
      <c r="R218" s="28">
        <v>1679</v>
      </c>
      <c r="S218" s="29" t="s">
        <v>1679</v>
      </c>
      <c r="T218" s="28">
        <v>9448</v>
      </c>
    </row>
    <row r="219" spans="1:20" ht="14.25" customHeight="1">
      <c r="A219" s="27" t="s">
        <v>1680</v>
      </c>
      <c r="B219" s="28" t="str">
        <f t="shared" si="0"/>
        <v>Della</v>
      </c>
      <c r="C219" s="27" t="s">
        <v>198</v>
      </c>
      <c r="D219" s="27" t="s">
        <v>1681</v>
      </c>
      <c r="E219" s="28" t="str">
        <f t="shared" si="1"/>
        <v>Quillen</v>
      </c>
      <c r="F219" s="28" t="str">
        <f t="shared" si="2"/>
        <v>Della Quillen</v>
      </c>
      <c r="G219" s="27" t="s">
        <v>200</v>
      </c>
      <c r="H219" s="27" t="str">
        <f t="shared" si="3"/>
        <v>Female</v>
      </c>
      <c r="I219" s="27" t="s">
        <v>1682</v>
      </c>
      <c r="J219" s="27" t="s">
        <v>1683</v>
      </c>
      <c r="K219" s="27" t="s">
        <v>469</v>
      </c>
      <c r="L219" s="27">
        <v>45402</v>
      </c>
      <c r="M219" s="28" t="str">
        <f t="shared" si="4"/>
        <v>10 Pursglove Court, Dayton, OH, 45402</v>
      </c>
      <c r="N219" s="27" t="s">
        <v>1684</v>
      </c>
      <c r="O219" s="27" t="s">
        <v>1685</v>
      </c>
      <c r="P219" s="28">
        <v>937</v>
      </c>
      <c r="Q219" s="28">
        <v>334</v>
      </c>
      <c r="R219" s="28">
        <v>4086</v>
      </c>
      <c r="S219" s="29" t="s">
        <v>1686</v>
      </c>
      <c r="T219" s="28">
        <v>939</v>
      </c>
    </row>
    <row r="220" spans="1:20" ht="14.25" customHeight="1">
      <c r="A220" s="27" t="s">
        <v>1687</v>
      </c>
      <c r="B220" s="28" t="str">
        <f t="shared" si="0"/>
        <v>Dillon</v>
      </c>
      <c r="C220" s="27" t="s">
        <v>317</v>
      </c>
      <c r="D220" s="27" t="s">
        <v>599</v>
      </c>
      <c r="E220" s="28" t="str">
        <f t="shared" si="1"/>
        <v>Williams</v>
      </c>
      <c r="F220" s="28" t="str">
        <f t="shared" si="2"/>
        <v>Dillon Williams</v>
      </c>
      <c r="G220" s="27" t="s">
        <v>210</v>
      </c>
      <c r="H220" s="27" t="str">
        <f t="shared" si="3"/>
        <v>Male</v>
      </c>
      <c r="I220" s="27" t="s">
        <v>1688</v>
      </c>
      <c r="J220" s="27" t="s">
        <v>1611</v>
      </c>
      <c r="K220" s="27" t="s">
        <v>1612</v>
      </c>
      <c r="L220" s="27">
        <v>20005</v>
      </c>
      <c r="M220" s="28" t="str">
        <f t="shared" si="4"/>
        <v>2622 Rhode Island Avenue, Washington, DC, 20005</v>
      </c>
      <c r="N220" s="27" t="s">
        <v>1689</v>
      </c>
      <c r="O220" s="27" t="s">
        <v>1690</v>
      </c>
      <c r="P220" s="28">
        <v>202</v>
      </c>
      <c r="Q220" s="28">
        <v>383</v>
      </c>
      <c r="R220" s="28">
        <v>909</v>
      </c>
      <c r="S220" s="29" t="s">
        <v>1691</v>
      </c>
      <c r="T220" s="28">
        <v>263</v>
      </c>
    </row>
    <row r="221" spans="1:20" ht="14.25" customHeight="1">
      <c r="A221" s="27" t="s">
        <v>1692</v>
      </c>
      <c r="B221" s="28" t="str">
        <f t="shared" si="0"/>
        <v>Paul</v>
      </c>
      <c r="C221" s="27" t="s">
        <v>208</v>
      </c>
      <c r="D221" s="27" t="s">
        <v>703</v>
      </c>
      <c r="E221" s="28" t="str">
        <f t="shared" si="1"/>
        <v>Johnson</v>
      </c>
      <c r="F221" s="28" t="str">
        <f t="shared" si="2"/>
        <v>Paul Johnson</v>
      </c>
      <c r="G221" s="27" t="s">
        <v>210</v>
      </c>
      <c r="H221" s="27" t="str">
        <f t="shared" si="3"/>
        <v>Male</v>
      </c>
      <c r="I221" s="27" t="s">
        <v>1693</v>
      </c>
      <c r="J221" s="27" t="s">
        <v>1694</v>
      </c>
      <c r="K221" s="27" t="s">
        <v>706</v>
      </c>
      <c r="L221" s="27">
        <v>15323</v>
      </c>
      <c r="M221" s="28" t="str">
        <f t="shared" si="4"/>
        <v>4339 Michigan Avenue, Claysville, PA, 15323</v>
      </c>
      <c r="N221" s="27" t="s">
        <v>1695</v>
      </c>
      <c r="O221" s="27" t="s">
        <v>1696</v>
      </c>
      <c r="P221" s="28">
        <v>724</v>
      </c>
      <c r="Q221" s="28">
        <v>663</v>
      </c>
      <c r="R221" s="28">
        <v>1197</v>
      </c>
      <c r="S221" s="29" t="s">
        <v>1697</v>
      </c>
      <c r="T221" s="28">
        <v>8287</v>
      </c>
    </row>
    <row r="222" spans="1:20" ht="14.25" customHeight="1">
      <c r="A222" s="27" t="s">
        <v>1698</v>
      </c>
      <c r="B222" s="28" t="str">
        <f t="shared" si="0"/>
        <v>Nicholas</v>
      </c>
      <c r="C222" s="27" t="s">
        <v>198</v>
      </c>
      <c r="D222" s="27" t="s">
        <v>1699</v>
      </c>
      <c r="E222" s="28" t="str">
        <f t="shared" si="1"/>
        <v>Stice</v>
      </c>
      <c r="F222" s="28" t="str">
        <f t="shared" si="2"/>
        <v>Nicholas Stice</v>
      </c>
      <c r="G222" s="27" t="s">
        <v>210</v>
      </c>
      <c r="H222" s="27" t="str">
        <f t="shared" si="3"/>
        <v>Male</v>
      </c>
      <c r="I222" s="27" t="s">
        <v>1700</v>
      </c>
      <c r="J222" s="27" t="s">
        <v>1701</v>
      </c>
      <c r="K222" s="27" t="s">
        <v>368</v>
      </c>
      <c r="L222" s="27">
        <v>33411</v>
      </c>
      <c r="M222" s="28" t="str">
        <f t="shared" si="4"/>
        <v>2973 Mulberry Lane, West Palm Beach, FL, 33411</v>
      </c>
      <c r="N222" s="27" t="s">
        <v>1702</v>
      </c>
      <c r="O222" s="27" t="s">
        <v>1703</v>
      </c>
      <c r="P222" s="28">
        <v>561</v>
      </c>
      <c r="Q222" s="28">
        <v>751</v>
      </c>
      <c r="R222" s="28">
        <v>6293</v>
      </c>
      <c r="S222" s="29" t="s">
        <v>1704</v>
      </c>
      <c r="T222" s="28">
        <v>952</v>
      </c>
    </row>
    <row r="223" spans="1:20" ht="14.25" customHeight="1">
      <c r="A223" s="27" t="s">
        <v>1705</v>
      </c>
      <c r="B223" s="28" t="str">
        <f t="shared" si="0"/>
        <v>Danny</v>
      </c>
      <c r="C223" s="27" t="s">
        <v>226</v>
      </c>
      <c r="D223" s="27" t="s">
        <v>1706</v>
      </c>
      <c r="E223" s="28" t="str">
        <f t="shared" si="1"/>
        <v>Quesada</v>
      </c>
      <c r="F223" s="28" t="str">
        <f t="shared" si="2"/>
        <v>Danny Quesada</v>
      </c>
      <c r="G223" s="27" t="s">
        <v>210</v>
      </c>
      <c r="H223" s="27" t="str">
        <f t="shared" si="3"/>
        <v>Male</v>
      </c>
      <c r="I223" s="27" t="s">
        <v>1707</v>
      </c>
      <c r="J223" s="27" t="s">
        <v>1708</v>
      </c>
      <c r="K223" s="27" t="s">
        <v>1039</v>
      </c>
      <c r="L223" s="27">
        <v>98105</v>
      </c>
      <c r="M223" s="28" t="str">
        <f t="shared" si="4"/>
        <v>2249 Elliot Avenue, Seattle, WA, 98105</v>
      </c>
      <c r="N223" s="27" t="s">
        <v>1709</v>
      </c>
      <c r="O223" s="27" t="s">
        <v>1710</v>
      </c>
      <c r="P223" s="28">
        <v>206</v>
      </c>
      <c r="Q223" s="28">
        <v>632</v>
      </c>
      <c r="R223" s="28">
        <v>7520</v>
      </c>
      <c r="S223" s="29" t="s">
        <v>1711</v>
      </c>
      <c r="T223" s="28">
        <v>1137</v>
      </c>
    </row>
    <row r="224" spans="1:20" ht="14.25" customHeight="1">
      <c r="A224" s="27" t="s">
        <v>372</v>
      </c>
      <c r="B224" s="28" t="str">
        <f t="shared" si="0"/>
        <v>Patrick</v>
      </c>
      <c r="C224" s="27" t="s">
        <v>350</v>
      </c>
      <c r="D224" s="27" t="s">
        <v>703</v>
      </c>
      <c r="E224" s="28" t="str">
        <f t="shared" si="1"/>
        <v>Johnson</v>
      </c>
      <c r="F224" s="28" t="str">
        <f t="shared" si="2"/>
        <v>Patrick Johnson</v>
      </c>
      <c r="G224" s="27" t="s">
        <v>210</v>
      </c>
      <c r="H224" s="27" t="str">
        <f t="shared" si="3"/>
        <v>Male</v>
      </c>
      <c r="I224" s="27" t="s">
        <v>1712</v>
      </c>
      <c r="J224" s="27" t="s">
        <v>1713</v>
      </c>
      <c r="K224" s="27" t="s">
        <v>1714</v>
      </c>
      <c r="L224" s="27">
        <v>89106</v>
      </c>
      <c r="M224" s="28" t="str">
        <f t="shared" si="4"/>
        <v>3033 Hickory Ridge Drive, Las Vegas, NV, 89106</v>
      </c>
      <c r="N224" s="27" t="s">
        <v>1715</v>
      </c>
      <c r="O224" s="27" t="s">
        <v>1716</v>
      </c>
      <c r="P224" s="28">
        <v>702</v>
      </c>
      <c r="Q224" s="28">
        <v>646</v>
      </c>
      <c r="R224" s="28">
        <v>7948</v>
      </c>
      <c r="S224" s="29" t="s">
        <v>1717</v>
      </c>
      <c r="T224" s="28">
        <v>2493</v>
      </c>
    </row>
    <row r="225" spans="1:20" ht="14.25" customHeight="1">
      <c r="A225" s="27" t="s">
        <v>1083</v>
      </c>
      <c r="B225" s="28" t="str">
        <f t="shared" si="0"/>
        <v>Christopher</v>
      </c>
      <c r="C225" s="27" t="s">
        <v>198</v>
      </c>
      <c r="D225" s="27" t="s">
        <v>1718</v>
      </c>
      <c r="E225" s="28" t="str">
        <f t="shared" si="1"/>
        <v>White</v>
      </c>
      <c r="F225" s="28" t="str">
        <f t="shared" si="2"/>
        <v>Christopher White</v>
      </c>
      <c r="G225" s="27" t="s">
        <v>210</v>
      </c>
      <c r="H225" s="27" t="str">
        <f t="shared" si="3"/>
        <v>Male</v>
      </c>
      <c r="I225" s="27" t="s">
        <v>1719</v>
      </c>
      <c r="J225" s="27" t="s">
        <v>1720</v>
      </c>
      <c r="K225" s="27" t="s">
        <v>213</v>
      </c>
      <c r="L225" s="27">
        <v>92801</v>
      </c>
      <c r="M225" s="28" t="str">
        <f t="shared" si="4"/>
        <v>4305 Parkview Drive, Anaheim, CA, 92801</v>
      </c>
      <c r="N225" s="27" t="s">
        <v>1721</v>
      </c>
      <c r="O225" s="27" t="s">
        <v>1722</v>
      </c>
      <c r="P225" s="28">
        <v>714</v>
      </c>
      <c r="Q225" s="28">
        <v>227</v>
      </c>
      <c r="R225" s="28">
        <v>7227</v>
      </c>
      <c r="S225" s="29" t="s">
        <v>1723</v>
      </c>
      <c r="T225" s="28">
        <v>5058</v>
      </c>
    </row>
    <row r="226" spans="1:20" ht="14.25" customHeight="1">
      <c r="A226" s="27" t="s">
        <v>357</v>
      </c>
      <c r="B226" s="28" t="str">
        <f t="shared" si="0"/>
        <v>James</v>
      </c>
      <c r="C226" s="27" t="s">
        <v>252</v>
      </c>
      <c r="D226" s="27" t="s">
        <v>1724</v>
      </c>
      <c r="E226" s="28" t="str">
        <f t="shared" si="1"/>
        <v>Washington</v>
      </c>
      <c r="F226" s="28" t="str">
        <f t="shared" si="2"/>
        <v>James Washington</v>
      </c>
      <c r="G226" s="27" t="s">
        <v>210</v>
      </c>
      <c r="H226" s="27" t="str">
        <f t="shared" si="3"/>
        <v>Male</v>
      </c>
      <c r="I226" s="27" t="s">
        <v>1725</v>
      </c>
      <c r="J226" s="27" t="s">
        <v>1726</v>
      </c>
      <c r="K226" s="27" t="s">
        <v>1039</v>
      </c>
      <c r="L226" s="27">
        <v>98926</v>
      </c>
      <c r="M226" s="28" t="str">
        <f t="shared" si="4"/>
        <v>1523 Melrose Street, Ellensburg, WA, 98926</v>
      </c>
      <c r="N226" s="27" t="s">
        <v>1727</v>
      </c>
      <c r="O226" s="27" t="s">
        <v>1728</v>
      </c>
      <c r="P226" s="28">
        <v>509</v>
      </c>
      <c r="Q226" s="28">
        <v>929</v>
      </c>
      <c r="R226" s="28">
        <v>2283</v>
      </c>
      <c r="S226" s="29" t="s">
        <v>1729</v>
      </c>
      <c r="T226" s="28">
        <v>972</v>
      </c>
    </row>
    <row r="227" spans="1:20" ht="14.25" customHeight="1">
      <c r="A227" s="27" t="s">
        <v>776</v>
      </c>
      <c r="B227" s="28" t="str">
        <f t="shared" si="0"/>
        <v>Christine</v>
      </c>
      <c r="C227" s="27" t="s">
        <v>465</v>
      </c>
      <c r="D227" s="27" t="s">
        <v>1730</v>
      </c>
      <c r="E227" s="28" t="str">
        <f t="shared" si="1"/>
        <v>Pierce</v>
      </c>
      <c r="F227" s="28" t="str">
        <f t="shared" si="2"/>
        <v>Christine Pierce</v>
      </c>
      <c r="G227" s="27" t="s">
        <v>200</v>
      </c>
      <c r="H227" s="27" t="str">
        <f t="shared" si="3"/>
        <v>Female</v>
      </c>
      <c r="I227" s="27" t="s">
        <v>1731</v>
      </c>
      <c r="J227" s="27" t="s">
        <v>1732</v>
      </c>
      <c r="K227" s="27" t="s">
        <v>203</v>
      </c>
      <c r="L227" s="27">
        <v>61759</v>
      </c>
      <c r="M227" s="28" t="str">
        <f t="shared" si="4"/>
        <v>509 Coburn Hollow Road, Minier, IL, 61759</v>
      </c>
      <c r="N227" s="27" t="s">
        <v>1733</v>
      </c>
      <c r="O227" s="27" t="s">
        <v>1734</v>
      </c>
      <c r="P227" s="28">
        <v>309</v>
      </c>
      <c r="Q227" s="28">
        <v>392</v>
      </c>
      <c r="R227" s="28">
        <v>556</v>
      </c>
      <c r="S227" s="29" t="s">
        <v>1735</v>
      </c>
      <c r="T227" s="28">
        <v>1065</v>
      </c>
    </row>
    <row r="228" spans="1:20" ht="14.25" customHeight="1">
      <c r="A228" s="27" t="s">
        <v>1736</v>
      </c>
      <c r="B228" s="28" t="str">
        <f t="shared" si="0"/>
        <v>Marie</v>
      </c>
      <c r="C228" s="27" t="s">
        <v>235</v>
      </c>
      <c r="D228" s="27" t="s">
        <v>599</v>
      </c>
      <c r="E228" s="28" t="str">
        <f t="shared" si="1"/>
        <v>Williams</v>
      </c>
      <c r="F228" s="28" t="str">
        <f t="shared" si="2"/>
        <v>Marie Williams</v>
      </c>
      <c r="G228" s="27" t="s">
        <v>200</v>
      </c>
      <c r="H228" s="27" t="str">
        <f t="shared" si="3"/>
        <v>Female</v>
      </c>
      <c r="I228" s="27" t="s">
        <v>1737</v>
      </c>
      <c r="J228" s="27" t="s">
        <v>1738</v>
      </c>
      <c r="K228" s="27" t="s">
        <v>415</v>
      </c>
      <c r="L228" s="27">
        <v>31792</v>
      </c>
      <c r="M228" s="28" t="str">
        <f t="shared" si="4"/>
        <v>240 Locust Street, Thomasville, GA, 31792</v>
      </c>
      <c r="N228" s="27" t="s">
        <v>1739</v>
      </c>
      <c r="O228" s="27" t="s">
        <v>1740</v>
      </c>
      <c r="P228" s="28">
        <v>229</v>
      </c>
      <c r="Q228" s="28">
        <v>672</v>
      </c>
      <c r="R228" s="28">
        <v>6963</v>
      </c>
      <c r="S228" s="29" t="s">
        <v>1741</v>
      </c>
      <c r="T228" s="28">
        <v>7201</v>
      </c>
    </row>
    <row r="229" spans="1:20" ht="14.25" customHeight="1">
      <c r="A229" s="27" t="s">
        <v>1543</v>
      </c>
      <c r="B229" s="28" t="str">
        <f t="shared" si="0"/>
        <v>Sharon</v>
      </c>
      <c r="C229" s="27" t="s">
        <v>381</v>
      </c>
      <c r="D229" s="27" t="s">
        <v>586</v>
      </c>
      <c r="E229" s="28" t="str">
        <f t="shared" si="1"/>
        <v>Hamilton</v>
      </c>
      <c r="F229" s="28" t="str">
        <f t="shared" si="2"/>
        <v>Sharon Hamilton</v>
      </c>
      <c r="G229" s="27" t="s">
        <v>200</v>
      </c>
      <c r="H229" s="27" t="str">
        <f t="shared" si="3"/>
        <v>Female</v>
      </c>
      <c r="I229" s="27" t="s">
        <v>1742</v>
      </c>
      <c r="J229" s="27" t="s">
        <v>1743</v>
      </c>
      <c r="K229" s="27" t="s">
        <v>230</v>
      </c>
      <c r="L229" s="27">
        <v>24011</v>
      </c>
      <c r="M229" s="28" t="str">
        <f t="shared" si="4"/>
        <v>4591 Hurry Street, Roanoke, VA, 24011</v>
      </c>
      <c r="N229" s="27" t="s">
        <v>1744</v>
      </c>
      <c r="O229" s="27" t="s">
        <v>1745</v>
      </c>
      <c r="P229" s="28">
        <v>540</v>
      </c>
      <c r="Q229" s="28">
        <v>344</v>
      </c>
      <c r="R229" s="28">
        <v>8487</v>
      </c>
      <c r="S229" s="29" t="s">
        <v>1746</v>
      </c>
      <c r="T229" s="28">
        <v>828</v>
      </c>
    </row>
    <row r="230" spans="1:20" ht="14.25" customHeight="1">
      <c r="A230" s="27" t="s">
        <v>1747</v>
      </c>
      <c r="B230" s="28" t="str">
        <f t="shared" si="0"/>
        <v>Landon</v>
      </c>
      <c r="C230" s="27" t="s">
        <v>208</v>
      </c>
      <c r="D230" s="27" t="s">
        <v>1748</v>
      </c>
      <c r="E230" s="28" t="str">
        <f t="shared" si="1"/>
        <v>Bryan</v>
      </c>
      <c r="F230" s="28" t="str">
        <f t="shared" si="2"/>
        <v>Landon Bryan</v>
      </c>
      <c r="G230" s="27" t="s">
        <v>210</v>
      </c>
      <c r="H230" s="27" t="str">
        <f t="shared" si="3"/>
        <v>Male</v>
      </c>
      <c r="I230" s="27" t="s">
        <v>1749</v>
      </c>
      <c r="J230" s="27" t="s">
        <v>1750</v>
      </c>
      <c r="K230" s="27" t="s">
        <v>272</v>
      </c>
      <c r="L230" s="27">
        <v>11590</v>
      </c>
      <c r="M230" s="28" t="str">
        <f t="shared" si="4"/>
        <v>1069 Mount Tabor, Westbury, NY, 11590</v>
      </c>
      <c r="N230" s="27" t="s">
        <v>1751</v>
      </c>
      <c r="O230" s="27" t="s">
        <v>1752</v>
      </c>
      <c r="P230" s="28">
        <v>914</v>
      </c>
      <c r="Q230" s="28">
        <v>573</v>
      </c>
      <c r="R230" s="28">
        <v>4676</v>
      </c>
      <c r="S230" s="29" t="s">
        <v>1753</v>
      </c>
      <c r="T230" s="28">
        <v>6711</v>
      </c>
    </row>
    <row r="231" spans="1:20" ht="14.25" customHeight="1">
      <c r="A231" s="27" t="s">
        <v>325</v>
      </c>
      <c r="B231" s="28" t="str">
        <f t="shared" si="0"/>
        <v>Mark</v>
      </c>
      <c r="C231" s="27" t="s">
        <v>317</v>
      </c>
      <c r="D231" s="27" t="s">
        <v>1754</v>
      </c>
      <c r="E231" s="28" t="str">
        <f t="shared" si="1"/>
        <v>Garrison</v>
      </c>
      <c r="F231" s="28" t="str">
        <f t="shared" si="2"/>
        <v>Mark Garrison</v>
      </c>
      <c r="G231" s="27" t="s">
        <v>210</v>
      </c>
      <c r="H231" s="27" t="str">
        <f t="shared" si="3"/>
        <v>Male</v>
      </c>
      <c r="I231" s="27" t="s">
        <v>1755</v>
      </c>
      <c r="J231" s="27" t="s">
        <v>1756</v>
      </c>
      <c r="K231" s="27" t="s">
        <v>684</v>
      </c>
      <c r="L231" s="27">
        <v>47408</v>
      </c>
      <c r="M231" s="28" t="str">
        <f t="shared" si="4"/>
        <v>4372 Neville Street, Bloomington, IN, 47408</v>
      </c>
      <c r="N231" s="27" t="s">
        <v>1757</v>
      </c>
      <c r="O231" s="27" t="s">
        <v>1758</v>
      </c>
      <c r="P231" s="28">
        <v>812</v>
      </c>
      <c r="Q231" s="28">
        <v>581</v>
      </c>
      <c r="R231" s="28">
        <v>1981</v>
      </c>
      <c r="S231" s="29" t="s">
        <v>1759</v>
      </c>
      <c r="T231" s="28">
        <v>477</v>
      </c>
    </row>
    <row r="232" spans="1:20" ht="14.25" customHeight="1">
      <c r="A232" s="27" t="s">
        <v>1760</v>
      </c>
      <c r="B232" s="28" t="str">
        <f t="shared" si="0"/>
        <v>Jeremy</v>
      </c>
      <c r="C232" s="27" t="s">
        <v>381</v>
      </c>
      <c r="D232" s="27" t="s">
        <v>1413</v>
      </c>
      <c r="E232" s="28" t="str">
        <f t="shared" si="1"/>
        <v>Whitaker</v>
      </c>
      <c r="F232" s="28" t="str">
        <f t="shared" si="2"/>
        <v>Jeremy Whitaker</v>
      </c>
      <c r="G232" s="27" t="s">
        <v>210</v>
      </c>
      <c r="H232" s="27" t="str">
        <f t="shared" si="3"/>
        <v>Male</v>
      </c>
      <c r="I232" s="27" t="s">
        <v>1761</v>
      </c>
      <c r="J232" s="27" t="s">
        <v>1762</v>
      </c>
      <c r="K232" s="27" t="s">
        <v>213</v>
      </c>
      <c r="L232" s="27">
        <v>93401</v>
      </c>
      <c r="M232" s="28" t="str">
        <f t="shared" si="4"/>
        <v>3597 Creekside Lane, San Luis Obispo, CA, 93401</v>
      </c>
      <c r="N232" s="27" t="s">
        <v>1763</v>
      </c>
      <c r="O232" s="27" t="s">
        <v>1764</v>
      </c>
      <c r="P232" s="28">
        <v>805</v>
      </c>
      <c r="Q232" s="28">
        <v>710</v>
      </c>
      <c r="R232" s="28">
        <v>2361</v>
      </c>
      <c r="S232" s="29" t="s">
        <v>1765</v>
      </c>
      <c r="T232" s="28">
        <v>5370</v>
      </c>
    </row>
    <row r="233" spans="1:20" ht="14.25" customHeight="1">
      <c r="A233" s="27" t="s">
        <v>1766</v>
      </c>
      <c r="B233" s="28" t="str">
        <f t="shared" si="0"/>
        <v>Matthew</v>
      </c>
      <c r="C233" s="27" t="s">
        <v>226</v>
      </c>
      <c r="D233" s="27" t="s">
        <v>1767</v>
      </c>
      <c r="E233" s="28" t="str">
        <f t="shared" si="1"/>
        <v>Dupre</v>
      </c>
      <c r="F233" s="28" t="str">
        <f t="shared" si="2"/>
        <v>Matthew Dupre</v>
      </c>
      <c r="G233" s="27" t="s">
        <v>210</v>
      </c>
      <c r="H233" s="27" t="str">
        <f t="shared" si="3"/>
        <v>Male</v>
      </c>
      <c r="I233" s="27" t="s">
        <v>1768</v>
      </c>
      <c r="J233" s="27" t="s">
        <v>1769</v>
      </c>
      <c r="K233" s="27" t="s">
        <v>706</v>
      </c>
      <c r="L233" s="27">
        <v>15017</v>
      </c>
      <c r="M233" s="28" t="str">
        <f t="shared" si="4"/>
        <v>2943 Stiles Street, Bridgeville, PA, 15017</v>
      </c>
      <c r="N233" s="27" t="s">
        <v>1770</v>
      </c>
      <c r="O233" s="27" t="s">
        <v>1771</v>
      </c>
      <c r="P233" s="28">
        <v>412</v>
      </c>
      <c r="Q233" s="28">
        <v>585</v>
      </c>
      <c r="R233" s="28">
        <v>3743</v>
      </c>
      <c r="S233" s="29" t="s">
        <v>1772</v>
      </c>
      <c r="T233" s="28">
        <v>1993</v>
      </c>
    </row>
    <row r="234" spans="1:20" ht="14.25" customHeight="1">
      <c r="A234" s="27" t="s">
        <v>1576</v>
      </c>
      <c r="B234" s="28" t="str">
        <f t="shared" si="0"/>
        <v>Stephen</v>
      </c>
      <c r="C234" s="27" t="s">
        <v>511</v>
      </c>
      <c r="D234" s="27" t="s">
        <v>1773</v>
      </c>
      <c r="E234" s="28" t="str">
        <f t="shared" si="1"/>
        <v>Carlson</v>
      </c>
      <c r="F234" s="28" t="str">
        <f t="shared" si="2"/>
        <v>Stephen Carlson</v>
      </c>
      <c r="G234" s="27" t="s">
        <v>210</v>
      </c>
      <c r="H234" s="27" t="str">
        <f t="shared" si="3"/>
        <v>Male</v>
      </c>
      <c r="I234" s="27" t="s">
        <v>1774</v>
      </c>
      <c r="J234" s="27" t="s">
        <v>1775</v>
      </c>
      <c r="K234" s="27" t="s">
        <v>329</v>
      </c>
      <c r="L234" s="27">
        <v>49855</v>
      </c>
      <c r="M234" s="28" t="str">
        <f t="shared" si="4"/>
        <v>4434 Pinewood Avenue, Marquette, MI, 49855</v>
      </c>
      <c r="N234" s="27" t="s">
        <v>1776</v>
      </c>
      <c r="O234" s="27" t="s">
        <v>1777</v>
      </c>
      <c r="P234" s="28">
        <v>906</v>
      </c>
      <c r="Q234" s="28">
        <v>731</v>
      </c>
      <c r="R234" s="28">
        <v>6381</v>
      </c>
      <c r="S234" s="29" t="s">
        <v>1778</v>
      </c>
      <c r="T234" s="28">
        <v>199</v>
      </c>
    </row>
    <row r="235" spans="1:20" ht="14.25" customHeight="1">
      <c r="A235" s="27" t="s">
        <v>496</v>
      </c>
      <c r="B235" s="28" t="str">
        <f t="shared" si="0"/>
        <v>Richard</v>
      </c>
      <c r="C235" s="27" t="s">
        <v>949</v>
      </c>
      <c r="D235" s="27" t="s">
        <v>1779</v>
      </c>
      <c r="E235" s="28" t="str">
        <f t="shared" si="1"/>
        <v>Bivona</v>
      </c>
      <c r="F235" s="28" t="str">
        <f t="shared" si="2"/>
        <v>Richard Bivona</v>
      </c>
      <c r="G235" s="27" t="s">
        <v>210</v>
      </c>
      <c r="H235" s="27" t="str">
        <f t="shared" si="3"/>
        <v>Male</v>
      </c>
      <c r="I235" s="27" t="s">
        <v>1780</v>
      </c>
      <c r="J235" s="27" t="s">
        <v>1781</v>
      </c>
      <c r="K235" s="27" t="s">
        <v>706</v>
      </c>
      <c r="L235" s="27">
        <v>16353</v>
      </c>
      <c r="M235" s="28" t="str">
        <f t="shared" si="4"/>
        <v>198 Spadafore Drive, Tionesta, PA, 16353</v>
      </c>
      <c r="N235" s="27" t="s">
        <v>1782</v>
      </c>
      <c r="O235" s="27" t="s">
        <v>1783</v>
      </c>
      <c r="P235" s="28">
        <v>814</v>
      </c>
      <c r="Q235" s="28">
        <v>755</v>
      </c>
      <c r="R235" s="28">
        <v>549</v>
      </c>
      <c r="S235" s="29" t="s">
        <v>1784</v>
      </c>
      <c r="T235" s="28">
        <v>96</v>
      </c>
    </row>
    <row r="236" spans="1:20" ht="14.25" customHeight="1">
      <c r="A236" s="27" t="s">
        <v>1785</v>
      </c>
      <c r="B236" s="28" t="str">
        <f t="shared" si="0"/>
        <v>Theresa</v>
      </c>
      <c r="C236" s="27" t="s">
        <v>533</v>
      </c>
      <c r="D236" s="27" t="s">
        <v>1786</v>
      </c>
      <c r="E236" s="28" t="str">
        <f t="shared" si="1"/>
        <v>Wynn</v>
      </c>
      <c r="F236" s="28" t="str">
        <f t="shared" si="2"/>
        <v>Theresa Wynn</v>
      </c>
      <c r="G236" s="27" t="s">
        <v>200</v>
      </c>
      <c r="H236" s="27" t="str">
        <f t="shared" si="3"/>
        <v>Female</v>
      </c>
      <c r="I236" s="27" t="s">
        <v>1787</v>
      </c>
      <c r="J236" s="27" t="s">
        <v>740</v>
      </c>
      <c r="K236" s="27" t="s">
        <v>345</v>
      </c>
      <c r="L236" s="27">
        <v>37917</v>
      </c>
      <c r="M236" s="28" t="str">
        <f t="shared" si="4"/>
        <v>227 Brown Avenue, Knoxville, TN, 37917</v>
      </c>
      <c r="N236" s="27" t="s">
        <v>1788</v>
      </c>
      <c r="O236" s="27" t="s">
        <v>1789</v>
      </c>
      <c r="P236" s="28">
        <v>865</v>
      </c>
      <c r="Q236" s="28">
        <v>245</v>
      </c>
      <c r="R236" s="28">
        <v>1971</v>
      </c>
      <c r="S236" s="29" t="s">
        <v>1790</v>
      </c>
      <c r="T236" s="28">
        <v>32</v>
      </c>
    </row>
    <row r="237" spans="1:20" ht="14.25" customHeight="1">
      <c r="A237" s="27" t="s">
        <v>510</v>
      </c>
      <c r="B237" s="28" t="str">
        <f t="shared" si="0"/>
        <v>George</v>
      </c>
      <c r="C237" s="27" t="s">
        <v>429</v>
      </c>
      <c r="D237" s="27" t="s">
        <v>1791</v>
      </c>
      <c r="E237" s="28" t="str">
        <f t="shared" si="1"/>
        <v>Schell</v>
      </c>
      <c r="F237" s="28" t="str">
        <f t="shared" si="2"/>
        <v>George Schell</v>
      </c>
      <c r="G237" s="27" t="s">
        <v>210</v>
      </c>
      <c r="H237" s="27" t="str">
        <f t="shared" si="3"/>
        <v>Male</v>
      </c>
      <c r="I237" s="27" t="s">
        <v>1792</v>
      </c>
      <c r="J237" s="27" t="s">
        <v>1793</v>
      </c>
      <c r="K237" s="27" t="s">
        <v>239</v>
      </c>
      <c r="L237" s="27">
        <v>70605</v>
      </c>
      <c r="M237" s="28" t="str">
        <f t="shared" si="4"/>
        <v>3950 Sarah Drive, Lake Charles, LA, 70605</v>
      </c>
      <c r="N237" s="27" t="s">
        <v>1794</v>
      </c>
      <c r="O237" s="27" t="s">
        <v>1795</v>
      </c>
      <c r="P237" s="28">
        <v>337</v>
      </c>
      <c r="Q237" s="28">
        <v>474</v>
      </c>
      <c r="R237" s="28">
        <v>8383</v>
      </c>
      <c r="S237" s="29" t="s">
        <v>1796</v>
      </c>
      <c r="T237" s="28">
        <v>4976</v>
      </c>
    </row>
    <row r="238" spans="1:20" ht="14.25" customHeight="1">
      <c r="A238" s="27" t="s">
        <v>1797</v>
      </c>
      <c r="B238" s="28" t="str">
        <f t="shared" si="0"/>
        <v>Denise</v>
      </c>
      <c r="C238" s="27" t="s">
        <v>235</v>
      </c>
      <c r="D238" s="27" t="s">
        <v>578</v>
      </c>
      <c r="E238" s="28" t="str">
        <f t="shared" si="1"/>
        <v>Brown</v>
      </c>
      <c r="F238" s="28" t="str">
        <f t="shared" si="2"/>
        <v>Denise Brown</v>
      </c>
      <c r="G238" s="27" t="s">
        <v>200</v>
      </c>
      <c r="H238" s="27" t="str">
        <f t="shared" si="3"/>
        <v>Female</v>
      </c>
      <c r="I238" s="27" t="s">
        <v>1798</v>
      </c>
      <c r="J238" s="27" t="s">
        <v>1799</v>
      </c>
      <c r="K238" s="27" t="s">
        <v>1800</v>
      </c>
      <c r="L238" s="27">
        <v>6995</v>
      </c>
      <c r="M238" s="28" t="str">
        <f t="shared" si="4"/>
        <v>3938 Maxwell Street, Stamford, CT, 6995</v>
      </c>
      <c r="N238" s="27" t="s">
        <v>1801</v>
      </c>
      <c r="O238" s="27" t="s">
        <v>1802</v>
      </c>
      <c r="P238" s="28">
        <v>860</v>
      </c>
      <c r="Q238" s="28">
        <v>760</v>
      </c>
      <c r="R238" s="28">
        <v>6015</v>
      </c>
      <c r="S238" s="29" t="s">
        <v>1803</v>
      </c>
      <c r="T238" s="28">
        <v>356</v>
      </c>
    </row>
    <row r="239" spans="1:20" ht="14.25" customHeight="1">
      <c r="A239" s="27" t="s">
        <v>1804</v>
      </c>
      <c r="B239" s="28" t="str">
        <f t="shared" si="0"/>
        <v>Philip</v>
      </c>
      <c r="C239" s="27" t="s">
        <v>533</v>
      </c>
      <c r="D239" s="27" t="s">
        <v>1805</v>
      </c>
      <c r="E239" s="28" t="str">
        <f t="shared" si="1"/>
        <v>Phillips</v>
      </c>
      <c r="F239" s="28" t="str">
        <f t="shared" si="2"/>
        <v>Philip Phillips</v>
      </c>
      <c r="G239" s="27" t="s">
        <v>210</v>
      </c>
      <c r="H239" s="27" t="str">
        <f t="shared" si="3"/>
        <v>Male</v>
      </c>
      <c r="I239" s="27" t="s">
        <v>1806</v>
      </c>
      <c r="J239" s="27" t="s">
        <v>1807</v>
      </c>
      <c r="K239" s="27" t="s">
        <v>415</v>
      </c>
      <c r="L239" s="27">
        <v>30071</v>
      </c>
      <c r="M239" s="28" t="str">
        <f t="shared" si="4"/>
        <v>3414 Fowler Avenue, Norcross, GA, 30071</v>
      </c>
      <c r="N239" s="27" t="s">
        <v>1808</v>
      </c>
      <c r="O239" s="27" t="s">
        <v>1809</v>
      </c>
      <c r="P239" s="28">
        <v>770</v>
      </c>
      <c r="Q239" s="28">
        <v>245</v>
      </c>
      <c r="R239" s="28">
        <v>3087</v>
      </c>
      <c r="S239" s="29" t="s">
        <v>1810</v>
      </c>
      <c r="T239" s="28">
        <v>981</v>
      </c>
    </row>
    <row r="240" spans="1:20" ht="14.25" customHeight="1">
      <c r="A240" s="27" t="s">
        <v>639</v>
      </c>
      <c r="B240" s="28" t="str">
        <f t="shared" si="0"/>
        <v>David</v>
      </c>
      <c r="C240" s="27" t="s">
        <v>235</v>
      </c>
      <c r="D240" s="27" t="s">
        <v>1811</v>
      </c>
      <c r="E240" s="28" t="str">
        <f t="shared" si="1"/>
        <v>Pendleton</v>
      </c>
      <c r="F240" s="28" t="str">
        <f t="shared" si="2"/>
        <v>David Pendleton</v>
      </c>
      <c r="G240" s="27" t="s">
        <v>210</v>
      </c>
      <c r="H240" s="27" t="str">
        <f t="shared" si="3"/>
        <v>Male</v>
      </c>
      <c r="I240" s="27" t="s">
        <v>1812</v>
      </c>
      <c r="J240" s="27" t="s">
        <v>811</v>
      </c>
      <c r="K240" s="27" t="s">
        <v>264</v>
      </c>
      <c r="L240" s="27">
        <v>35209</v>
      </c>
      <c r="M240" s="28" t="str">
        <f t="shared" si="4"/>
        <v>2126 Petunia Way, Birmingham, AL, 35209</v>
      </c>
      <c r="N240" s="27" t="s">
        <v>1813</v>
      </c>
      <c r="O240" s="27" t="s">
        <v>1814</v>
      </c>
      <c r="P240" s="28">
        <v>205</v>
      </c>
      <c r="Q240" s="28">
        <v>889</v>
      </c>
      <c r="R240" s="28">
        <v>7735</v>
      </c>
      <c r="S240" s="29" t="s">
        <v>1815</v>
      </c>
      <c r="T240" s="28">
        <v>577</v>
      </c>
    </row>
    <row r="241" spans="1:20" ht="14.25" customHeight="1">
      <c r="A241" s="27" t="s">
        <v>283</v>
      </c>
      <c r="B241" s="28" t="str">
        <f t="shared" si="0"/>
        <v>Shannon</v>
      </c>
      <c r="C241" s="27" t="s">
        <v>198</v>
      </c>
      <c r="D241" s="27" t="s">
        <v>1185</v>
      </c>
      <c r="E241" s="28" t="str">
        <f t="shared" si="1"/>
        <v>Green</v>
      </c>
      <c r="F241" s="28" t="str">
        <f t="shared" si="2"/>
        <v>Shannon Green</v>
      </c>
      <c r="G241" s="27" t="s">
        <v>200</v>
      </c>
      <c r="H241" s="27" t="str">
        <f t="shared" si="3"/>
        <v>Female</v>
      </c>
      <c r="I241" s="27" t="s">
        <v>1816</v>
      </c>
      <c r="J241" s="27" t="s">
        <v>1817</v>
      </c>
      <c r="K241" s="27" t="s">
        <v>368</v>
      </c>
      <c r="L241" s="27">
        <v>33012</v>
      </c>
      <c r="M241" s="28" t="str">
        <f t="shared" si="4"/>
        <v>1178 Elkview Drive, Hialeah, FL, 33012</v>
      </c>
      <c r="N241" s="27" t="s">
        <v>1818</v>
      </c>
      <c r="O241" s="27" t="s">
        <v>1819</v>
      </c>
      <c r="P241" s="28">
        <v>772</v>
      </c>
      <c r="Q241" s="28">
        <v>268</v>
      </c>
      <c r="R241" s="28">
        <v>6487</v>
      </c>
      <c r="S241" s="29" t="s">
        <v>1820</v>
      </c>
      <c r="T241" s="28">
        <v>25</v>
      </c>
    </row>
    <row r="242" spans="1:20" ht="14.25" customHeight="1">
      <c r="A242" s="27" t="s">
        <v>1821</v>
      </c>
      <c r="B242" s="28" t="str">
        <f t="shared" si="0"/>
        <v>Dave</v>
      </c>
      <c r="C242" s="27" t="s">
        <v>334</v>
      </c>
      <c r="D242" s="27" t="s">
        <v>1822</v>
      </c>
      <c r="E242" s="28" t="str">
        <f t="shared" si="1"/>
        <v>Spears</v>
      </c>
      <c r="F242" s="28" t="str">
        <f t="shared" si="2"/>
        <v>Dave Spears</v>
      </c>
      <c r="G242" s="27" t="s">
        <v>210</v>
      </c>
      <c r="H242" s="27" t="str">
        <f t="shared" si="3"/>
        <v>Male</v>
      </c>
      <c r="I242" s="27" t="s">
        <v>1823</v>
      </c>
      <c r="J242" s="27" t="s">
        <v>1508</v>
      </c>
      <c r="K242" s="27" t="s">
        <v>213</v>
      </c>
      <c r="L242" s="27">
        <v>90404</v>
      </c>
      <c r="M242" s="28" t="str">
        <f t="shared" si="4"/>
        <v>2832 Doctors Drive, Santa Monica, CA, 90404</v>
      </c>
      <c r="N242" s="27" t="s">
        <v>1824</v>
      </c>
      <c r="O242" s="27" t="s">
        <v>1825</v>
      </c>
      <c r="P242" s="28">
        <v>310</v>
      </c>
      <c r="Q242" s="28">
        <v>401</v>
      </c>
      <c r="R242" s="28">
        <v>9353</v>
      </c>
      <c r="S242" s="29" t="s">
        <v>1826</v>
      </c>
      <c r="T242" s="28">
        <v>5253</v>
      </c>
    </row>
    <row r="243" spans="1:20" ht="14.25" customHeight="1">
      <c r="A243" s="27" t="s">
        <v>639</v>
      </c>
      <c r="B243" s="28" t="str">
        <f t="shared" si="0"/>
        <v>David</v>
      </c>
      <c r="C243" s="27" t="s">
        <v>198</v>
      </c>
      <c r="D243" s="27" t="s">
        <v>1827</v>
      </c>
      <c r="E243" s="28" t="str">
        <f t="shared" si="1"/>
        <v>Turner</v>
      </c>
      <c r="F243" s="28" t="str">
        <f t="shared" si="2"/>
        <v>David Turner</v>
      </c>
      <c r="G243" s="27" t="s">
        <v>210</v>
      </c>
      <c r="H243" s="27" t="str">
        <f t="shared" si="3"/>
        <v>Male</v>
      </c>
      <c r="I243" s="27" t="s">
        <v>1828</v>
      </c>
      <c r="J243" s="27" t="s">
        <v>1829</v>
      </c>
      <c r="K243" s="27" t="s">
        <v>321</v>
      </c>
      <c r="L243" s="27">
        <v>53202</v>
      </c>
      <c r="M243" s="28" t="str">
        <f t="shared" si="4"/>
        <v>2504 Grant View Drive, Milwaukee, WI, 53202</v>
      </c>
      <c r="N243" s="27" t="s">
        <v>1830</v>
      </c>
      <c r="O243" s="27" t="s">
        <v>1831</v>
      </c>
      <c r="P243" s="28">
        <v>414</v>
      </c>
      <c r="Q243" s="28">
        <v>377</v>
      </c>
      <c r="R243" s="28">
        <v>6047</v>
      </c>
      <c r="S243" s="29" t="s">
        <v>1832</v>
      </c>
      <c r="T243" s="28">
        <v>5312</v>
      </c>
    </row>
    <row r="244" spans="1:20" ht="14.25" customHeight="1">
      <c r="A244" s="27" t="s">
        <v>389</v>
      </c>
      <c r="B244" s="28" t="str">
        <f t="shared" si="0"/>
        <v>Daniel</v>
      </c>
      <c r="C244" s="27" t="s">
        <v>284</v>
      </c>
      <c r="D244" s="27" t="s">
        <v>1833</v>
      </c>
      <c r="E244" s="28" t="str">
        <f t="shared" si="1"/>
        <v>Dwyer</v>
      </c>
      <c r="F244" s="28" t="str">
        <f t="shared" si="2"/>
        <v>Daniel Dwyer</v>
      </c>
      <c r="G244" s="27" t="s">
        <v>210</v>
      </c>
      <c r="H244" s="27" t="str">
        <f t="shared" si="3"/>
        <v>Male</v>
      </c>
      <c r="I244" s="27" t="s">
        <v>1834</v>
      </c>
      <c r="J244" s="27" t="s">
        <v>779</v>
      </c>
      <c r="K244" s="27" t="s">
        <v>424</v>
      </c>
      <c r="L244" s="27">
        <v>28412</v>
      </c>
      <c r="M244" s="28" t="str">
        <f t="shared" si="4"/>
        <v>1562 Twin Willow Lane, Wilmington, NC, 28412</v>
      </c>
      <c r="N244" s="27" t="s">
        <v>1835</v>
      </c>
      <c r="O244" s="27" t="s">
        <v>1836</v>
      </c>
      <c r="P244" s="28">
        <v>910</v>
      </c>
      <c r="Q244" s="28">
        <v>412</v>
      </c>
      <c r="R244" s="28">
        <v>9036</v>
      </c>
      <c r="S244" s="29" t="s">
        <v>1837</v>
      </c>
      <c r="T244" s="28">
        <v>4116</v>
      </c>
    </row>
    <row r="245" spans="1:20" ht="14.25" customHeight="1">
      <c r="A245" s="27" t="s">
        <v>1838</v>
      </c>
      <c r="B245" s="28" t="str">
        <f t="shared" si="0"/>
        <v>Darlene</v>
      </c>
      <c r="C245" s="27" t="s">
        <v>235</v>
      </c>
      <c r="D245" s="27" t="s">
        <v>1839</v>
      </c>
      <c r="E245" s="28" t="str">
        <f t="shared" si="1"/>
        <v>Ward</v>
      </c>
      <c r="F245" s="28" t="str">
        <f t="shared" si="2"/>
        <v>Darlene Ward</v>
      </c>
      <c r="G245" s="27" t="s">
        <v>200</v>
      </c>
      <c r="H245" s="27" t="str">
        <f t="shared" si="3"/>
        <v>Female</v>
      </c>
      <c r="I245" s="27" t="s">
        <v>1840</v>
      </c>
      <c r="J245" s="27" t="s">
        <v>733</v>
      </c>
      <c r="K245" s="27" t="s">
        <v>213</v>
      </c>
      <c r="L245" s="27">
        <v>94010</v>
      </c>
      <c r="M245" s="28" t="str">
        <f t="shared" si="4"/>
        <v>4525 Rardin Drive, Burlingame, CA, 94010</v>
      </c>
      <c r="N245" s="27" t="s">
        <v>1841</v>
      </c>
      <c r="O245" s="27" t="s">
        <v>1842</v>
      </c>
      <c r="P245" s="28">
        <v>650</v>
      </c>
      <c r="Q245" s="28">
        <v>696</v>
      </c>
      <c r="R245" s="28">
        <v>121</v>
      </c>
      <c r="S245" s="29" t="s">
        <v>1843</v>
      </c>
      <c r="T245" s="28">
        <v>4380</v>
      </c>
    </row>
    <row r="246" spans="1:20" ht="14.25" customHeight="1">
      <c r="A246" s="27" t="s">
        <v>1844</v>
      </c>
      <c r="B246" s="28" t="str">
        <f t="shared" si="0"/>
        <v>Walter</v>
      </c>
      <c r="C246" s="27" t="s">
        <v>300</v>
      </c>
      <c r="D246" s="27" t="s">
        <v>1845</v>
      </c>
      <c r="E246" s="28" t="str">
        <f t="shared" si="1"/>
        <v>Gavin</v>
      </c>
      <c r="F246" s="28" t="str">
        <f t="shared" si="2"/>
        <v>Walter Gavin</v>
      </c>
      <c r="G246" s="27" t="s">
        <v>210</v>
      </c>
      <c r="H246" s="27" t="str">
        <f t="shared" si="3"/>
        <v>Male</v>
      </c>
      <c r="I246" s="27" t="s">
        <v>1846</v>
      </c>
      <c r="J246" s="27" t="s">
        <v>1311</v>
      </c>
      <c r="K246" s="27" t="s">
        <v>329</v>
      </c>
      <c r="L246" s="27">
        <v>49503</v>
      </c>
      <c r="M246" s="28" t="str">
        <f t="shared" si="4"/>
        <v>4463 Garrett Street, Grand Rapids, MI, 49503</v>
      </c>
      <c r="N246" s="27" t="s">
        <v>1847</v>
      </c>
      <c r="O246" s="27" t="s">
        <v>1848</v>
      </c>
      <c r="P246" s="28">
        <v>269</v>
      </c>
      <c r="Q246" s="28">
        <v>268</v>
      </c>
      <c r="R246" s="28">
        <v>1166</v>
      </c>
      <c r="S246" s="29" t="s">
        <v>1849</v>
      </c>
      <c r="T246" s="28">
        <v>813</v>
      </c>
    </row>
    <row r="247" spans="1:20" ht="14.25" customHeight="1">
      <c r="A247" s="27" t="s">
        <v>783</v>
      </c>
      <c r="B247" s="28" t="str">
        <f t="shared" si="0"/>
        <v>Mary</v>
      </c>
      <c r="C247" s="27" t="s">
        <v>235</v>
      </c>
      <c r="D247" s="27" t="s">
        <v>1850</v>
      </c>
      <c r="E247" s="28" t="str">
        <f t="shared" si="1"/>
        <v>Glaspie</v>
      </c>
      <c r="F247" s="28" t="str">
        <f t="shared" si="2"/>
        <v>Mary Glaspie</v>
      </c>
      <c r="G247" s="27" t="s">
        <v>200</v>
      </c>
      <c r="H247" s="27" t="str">
        <f t="shared" si="3"/>
        <v>Female</v>
      </c>
      <c r="I247" s="27" t="s">
        <v>1851</v>
      </c>
      <c r="J247" s="27" t="s">
        <v>303</v>
      </c>
      <c r="K247" s="27" t="s">
        <v>304</v>
      </c>
      <c r="L247" s="27">
        <v>2908</v>
      </c>
      <c r="M247" s="28" t="str">
        <f t="shared" si="4"/>
        <v>3123 Diamond Cove, Providence, RI, 2908</v>
      </c>
      <c r="N247" s="27" t="s">
        <v>1852</v>
      </c>
      <c r="O247" s="27" t="s">
        <v>1853</v>
      </c>
      <c r="P247" s="28">
        <v>401</v>
      </c>
      <c r="Q247" s="28">
        <v>313</v>
      </c>
      <c r="R247" s="28">
        <v>452</v>
      </c>
      <c r="S247" s="29" t="s">
        <v>1854</v>
      </c>
      <c r="T247" s="28">
        <v>1846</v>
      </c>
    </row>
    <row r="248" spans="1:20" ht="14.25" customHeight="1">
      <c r="A248" s="27" t="s">
        <v>1855</v>
      </c>
      <c r="B248" s="28" t="str">
        <f t="shared" si="0"/>
        <v>Frank</v>
      </c>
      <c r="C248" s="27" t="s">
        <v>198</v>
      </c>
      <c r="D248" s="27" t="s">
        <v>1856</v>
      </c>
      <c r="E248" s="28" t="str">
        <f t="shared" si="1"/>
        <v>Santos</v>
      </c>
      <c r="F248" s="28" t="str">
        <f t="shared" si="2"/>
        <v>Frank Santos</v>
      </c>
      <c r="G248" s="27" t="s">
        <v>210</v>
      </c>
      <c r="H248" s="27" t="str">
        <f t="shared" si="3"/>
        <v>Male</v>
      </c>
      <c r="I248" s="27" t="s">
        <v>1857</v>
      </c>
      <c r="J248" s="27" t="s">
        <v>1858</v>
      </c>
      <c r="K248" s="27" t="s">
        <v>376</v>
      </c>
      <c r="L248" s="27">
        <v>68309</v>
      </c>
      <c r="M248" s="28" t="str">
        <f t="shared" si="4"/>
        <v>3255 Snowbird Lane, Barneston, NE, 68309</v>
      </c>
      <c r="N248" s="27" t="s">
        <v>1859</v>
      </c>
      <c r="O248" s="27" t="s">
        <v>1860</v>
      </c>
      <c r="P248" s="28">
        <v>402</v>
      </c>
      <c r="Q248" s="28">
        <v>674</v>
      </c>
      <c r="R248" s="28">
        <v>6125</v>
      </c>
      <c r="S248" s="29" t="s">
        <v>1861</v>
      </c>
      <c r="T248" s="28">
        <v>488</v>
      </c>
    </row>
    <row r="249" spans="1:20" ht="14.25" customHeight="1">
      <c r="A249" s="27" t="s">
        <v>976</v>
      </c>
      <c r="B249" s="28" t="str">
        <f t="shared" si="0"/>
        <v>Kevin</v>
      </c>
      <c r="C249" s="27" t="s">
        <v>208</v>
      </c>
      <c r="D249" s="27" t="s">
        <v>1862</v>
      </c>
      <c r="E249" s="28" t="str">
        <f t="shared" si="1"/>
        <v>Arias</v>
      </c>
      <c r="F249" s="28" t="str">
        <f t="shared" si="2"/>
        <v>Kevin Arias</v>
      </c>
      <c r="G249" s="27" t="s">
        <v>210</v>
      </c>
      <c r="H249" s="27" t="str">
        <f t="shared" si="3"/>
        <v>Male</v>
      </c>
      <c r="I249" s="27" t="s">
        <v>1863</v>
      </c>
      <c r="J249" s="27" t="s">
        <v>1864</v>
      </c>
      <c r="K249" s="27" t="s">
        <v>264</v>
      </c>
      <c r="L249" s="27">
        <v>36538</v>
      </c>
      <c r="M249" s="28" t="str">
        <f t="shared" si="4"/>
        <v>3502 Joyce Street, Frankville, AL, 36538</v>
      </c>
      <c r="N249" s="27" t="s">
        <v>1865</v>
      </c>
      <c r="O249" s="27" t="s">
        <v>1866</v>
      </c>
      <c r="P249" s="28">
        <v>251</v>
      </c>
      <c r="Q249" s="28">
        <v>754</v>
      </c>
      <c r="R249" s="28">
        <v>8822</v>
      </c>
      <c r="S249" s="29" t="s">
        <v>1867</v>
      </c>
      <c r="T249" s="28">
        <v>4216</v>
      </c>
    </row>
    <row r="250" spans="1:20" ht="14.25" customHeight="1">
      <c r="A250" s="27" t="s">
        <v>357</v>
      </c>
      <c r="B250" s="28" t="str">
        <f t="shared" si="0"/>
        <v>James</v>
      </c>
      <c r="C250" s="27" t="s">
        <v>252</v>
      </c>
      <c r="D250" s="27" t="s">
        <v>1868</v>
      </c>
      <c r="E250" s="28" t="str">
        <f t="shared" si="1"/>
        <v>Foster</v>
      </c>
      <c r="F250" s="28" t="str">
        <f t="shared" si="2"/>
        <v>James Foster</v>
      </c>
      <c r="G250" s="27" t="s">
        <v>210</v>
      </c>
      <c r="H250" s="27" t="str">
        <f t="shared" si="3"/>
        <v>Male</v>
      </c>
      <c r="I250" s="27" t="s">
        <v>1869</v>
      </c>
      <c r="J250" s="27" t="s">
        <v>1611</v>
      </c>
      <c r="K250" s="27" t="s">
        <v>1612</v>
      </c>
      <c r="L250" s="27">
        <v>20020</v>
      </c>
      <c r="M250" s="28" t="str">
        <f t="shared" si="4"/>
        <v>2429 School Street, Washington, DC, 20020</v>
      </c>
      <c r="N250" s="27" t="s">
        <v>1870</v>
      </c>
      <c r="O250" s="27" t="s">
        <v>1871</v>
      </c>
      <c r="P250" s="28">
        <v>202</v>
      </c>
      <c r="Q250" s="28">
        <v>889</v>
      </c>
      <c r="R250" s="28">
        <v>1944</v>
      </c>
      <c r="S250" s="29" t="s">
        <v>1872</v>
      </c>
      <c r="T250" s="28">
        <v>3551</v>
      </c>
    </row>
    <row r="251" spans="1:20" ht="14.25" customHeight="1">
      <c r="A251" s="27" t="s">
        <v>1873</v>
      </c>
      <c r="B251" s="28" t="str">
        <f t="shared" si="0"/>
        <v>Randy</v>
      </c>
      <c r="C251" s="27" t="s">
        <v>949</v>
      </c>
      <c r="D251" s="27" t="s">
        <v>675</v>
      </c>
      <c r="E251" s="28" t="str">
        <f t="shared" si="1"/>
        <v>Harrison</v>
      </c>
      <c r="F251" s="28" t="str">
        <f t="shared" si="2"/>
        <v>Randy Harrison</v>
      </c>
      <c r="G251" s="27" t="s">
        <v>210</v>
      </c>
      <c r="H251" s="27" t="str">
        <f t="shared" si="3"/>
        <v>Male</v>
      </c>
      <c r="I251" s="27" t="s">
        <v>1874</v>
      </c>
      <c r="J251" s="27" t="s">
        <v>1875</v>
      </c>
      <c r="K251" s="27" t="s">
        <v>256</v>
      </c>
      <c r="L251" s="27">
        <v>76301</v>
      </c>
      <c r="M251" s="28" t="str">
        <f t="shared" si="4"/>
        <v>1252 Boggess Street, Wichita Falls, TX, 76301</v>
      </c>
      <c r="N251" s="27" t="s">
        <v>1876</v>
      </c>
      <c r="O251" s="27" t="s">
        <v>1877</v>
      </c>
      <c r="P251" s="28">
        <v>940</v>
      </c>
      <c r="Q251" s="28">
        <v>228</v>
      </c>
      <c r="R251" s="28">
        <v>9302</v>
      </c>
      <c r="S251" s="29" t="s">
        <v>1878</v>
      </c>
      <c r="T251" s="28">
        <v>111</v>
      </c>
    </row>
    <row r="252" spans="1:20" ht="14.25" customHeight="1">
      <c r="A252" s="27" t="s">
        <v>308</v>
      </c>
      <c r="B252" s="28" t="str">
        <f t="shared" si="0"/>
        <v>Barbara</v>
      </c>
      <c r="C252" s="27" t="s">
        <v>300</v>
      </c>
      <c r="D252" s="27" t="s">
        <v>1879</v>
      </c>
      <c r="E252" s="28" t="str">
        <f t="shared" si="1"/>
        <v>Gray</v>
      </c>
      <c r="F252" s="28" t="str">
        <f t="shared" si="2"/>
        <v>Barbara Gray</v>
      </c>
      <c r="G252" s="27" t="s">
        <v>200</v>
      </c>
      <c r="H252" s="27" t="str">
        <f t="shared" si="3"/>
        <v>Female</v>
      </c>
      <c r="I252" s="27" t="s">
        <v>1880</v>
      </c>
      <c r="J252" s="27" t="s">
        <v>1881</v>
      </c>
      <c r="K252" s="27" t="s">
        <v>1188</v>
      </c>
      <c r="L252" s="27">
        <v>29646</v>
      </c>
      <c r="M252" s="28" t="str">
        <f t="shared" si="4"/>
        <v>1172 Pooh Bear Lane, Greenwood, SC, 29646</v>
      </c>
      <c r="N252" s="27" t="s">
        <v>1882</v>
      </c>
      <c r="O252" s="27" t="s">
        <v>1883</v>
      </c>
      <c r="P252" s="28">
        <v>864</v>
      </c>
      <c r="Q252" s="28">
        <v>725</v>
      </c>
      <c r="R252" s="28">
        <v>784</v>
      </c>
      <c r="S252" s="29" t="s">
        <v>1884</v>
      </c>
      <c r="T252" s="28">
        <v>5864</v>
      </c>
    </row>
    <row r="253" spans="1:20" ht="14.25" customHeight="1">
      <c r="A253" s="27" t="s">
        <v>207</v>
      </c>
      <c r="B253" s="28" t="str">
        <f t="shared" si="0"/>
        <v>Chad</v>
      </c>
      <c r="C253" s="27" t="s">
        <v>226</v>
      </c>
      <c r="D253" s="27" t="s">
        <v>1885</v>
      </c>
      <c r="E253" s="28" t="str">
        <f t="shared" si="1"/>
        <v>Mitchell</v>
      </c>
      <c r="F253" s="28" t="str">
        <f t="shared" si="2"/>
        <v>Chad Mitchell</v>
      </c>
      <c r="G253" s="27" t="s">
        <v>210</v>
      </c>
      <c r="H253" s="27" t="str">
        <f t="shared" si="3"/>
        <v>Male</v>
      </c>
      <c r="I253" s="27" t="s">
        <v>1886</v>
      </c>
      <c r="J253" s="27" t="s">
        <v>601</v>
      </c>
      <c r="K253" s="27" t="s">
        <v>345</v>
      </c>
      <c r="L253" s="27">
        <v>37209</v>
      </c>
      <c r="M253" s="28" t="str">
        <f t="shared" si="4"/>
        <v>3108 Wilkinson Street, Nashville, TN, 37209</v>
      </c>
      <c r="N253" s="27" t="s">
        <v>1887</v>
      </c>
      <c r="O253" s="27" t="s">
        <v>1888</v>
      </c>
      <c r="P253" s="28">
        <v>615</v>
      </c>
      <c r="Q253" s="28">
        <v>426</v>
      </c>
      <c r="R253" s="28">
        <v>6227</v>
      </c>
      <c r="S253" s="29" t="s">
        <v>1889</v>
      </c>
      <c r="T253" s="28">
        <v>806</v>
      </c>
    </row>
    <row r="254" spans="1:20" ht="14.25" customHeight="1">
      <c r="A254" s="27" t="s">
        <v>1890</v>
      </c>
      <c r="B254" s="28" t="str">
        <f t="shared" si="0"/>
        <v>Lauren</v>
      </c>
      <c r="C254" s="27" t="s">
        <v>198</v>
      </c>
      <c r="D254" s="27" t="s">
        <v>1891</v>
      </c>
      <c r="E254" s="28" t="str">
        <f t="shared" si="1"/>
        <v>Keese</v>
      </c>
      <c r="F254" s="28" t="str">
        <f t="shared" si="2"/>
        <v>Lauren Keese</v>
      </c>
      <c r="G254" s="27" t="s">
        <v>200</v>
      </c>
      <c r="H254" s="27" t="str">
        <f t="shared" si="3"/>
        <v>Female</v>
      </c>
      <c r="I254" s="27" t="s">
        <v>1892</v>
      </c>
      <c r="J254" s="27" t="s">
        <v>1893</v>
      </c>
      <c r="K254" s="27" t="s">
        <v>203</v>
      </c>
      <c r="L254" s="27">
        <v>61274</v>
      </c>
      <c r="M254" s="28" t="str">
        <f t="shared" si="4"/>
        <v>2705 Trainer Avenue, Osco, IL, 61274</v>
      </c>
      <c r="N254" s="27" t="s">
        <v>1894</v>
      </c>
      <c r="O254" s="27" t="s">
        <v>1895</v>
      </c>
      <c r="P254" s="28">
        <v>309</v>
      </c>
      <c r="Q254" s="28">
        <v>522</v>
      </c>
      <c r="R254" s="28">
        <v>5188</v>
      </c>
      <c r="S254" s="29" t="s">
        <v>1896</v>
      </c>
      <c r="T254" s="28">
        <v>859</v>
      </c>
    </row>
    <row r="255" spans="1:20" ht="14.25" customHeight="1">
      <c r="A255" s="27" t="s">
        <v>783</v>
      </c>
      <c r="B255" s="28" t="str">
        <f t="shared" si="0"/>
        <v>Mary</v>
      </c>
      <c r="C255" s="27" t="s">
        <v>350</v>
      </c>
      <c r="D255" s="27" t="s">
        <v>1897</v>
      </c>
      <c r="E255" s="28" t="str">
        <f t="shared" si="1"/>
        <v>Hernandez</v>
      </c>
      <c r="F255" s="28" t="str">
        <f t="shared" si="2"/>
        <v>Mary Hernandez</v>
      </c>
      <c r="G255" s="27" t="s">
        <v>200</v>
      </c>
      <c r="H255" s="27" t="str">
        <f t="shared" si="3"/>
        <v>Female</v>
      </c>
      <c r="I255" s="27" t="s">
        <v>1898</v>
      </c>
      <c r="J255" s="27" t="s">
        <v>514</v>
      </c>
      <c r="K255" s="27" t="s">
        <v>515</v>
      </c>
      <c r="L255" s="27">
        <v>63101</v>
      </c>
      <c r="M255" s="28" t="str">
        <f t="shared" si="4"/>
        <v>908 Bruce Street, Saint Louis, MO, 63101</v>
      </c>
      <c r="N255" s="27" t="s">
        <v>1899</v>
      </c>
      <c r="O255" s="27" t="s">
        <v>1900</v>
      </c>
      <c r="P255" s="28">
        <v>314</v>
      </c>
      <c r="Q255" s="28">
        <v>340</v>
      </c>
      <c r="R255" s="28">
        <v>4113</v>
      </c>
      <c r="S255" s="29" t="s">
        <v>1901</v>
      </c>
      <c r="T255" s="28">
        <v>696</v>
      </c>
    </row>
    <row r="256" spans="1:20" ht="14.25" customHeight="1">
      <c r="A256" s="27" t="s">
        <v>598</v>
      </c>
      <c r="B256" s="28" t="str">
        <f t="shared" si="0"/>
        <v>Victor</v>
      </c>
      <c r="C256" s="27" t="s">
        <v>284</v>
      </c>
      <c r="D256" s="27" t="s">
        <v>1902</v>
      </c>
      <c r="E256" s="28" t="str">
        <f t="shared" si="1"/>
        <v>Vest</v>
      </c>
      <c r="F256" s="28" t="str">
        <f t="shared" si="2"/>
        <v>Victor Vest</v>
      </c>
      <c r="G256" s="27" t="s">
        <v>210</v>
      </c>
      <c r="H256" s="27" t="str">
        <f t="shared" si="3"/>
        <v>Male</v>
      </c>
      <c r="I256" s="27" t="s">
        <v>1903</v>
      </c>
      <c r="J256" s="27" t="s">
        <v>400</v>
      </c>
      <c r="K256" s="27" t="s">
        <v>213</v>
      </c>
      <c r="L256" s="27">
        <v>90017</v>
      </c>
      <c r="M256" s="28" t="str">
        <f t="shared" si="4"/>
        <v>222 Middleville Road, Los Angeles, CA, 90017</v>
      </c>
      <c r="N256" s="27" t="s">
        <v>1904</v>
      </c>
      <c r="O256" s="27" t="s">
        <v>1905</v>
      </c>
      <c r="P256" s="28">
        <v>626</v>
      </c>
      <c r="Q256" s="28">
        <v>320</v>
      </c>
      <c r="R256" s="28">
        <v>5237</v>
      </c>
      <c r="S256" s="29" t="s">
        <v>1906</v>
      </c>
      <c r="T256" s="28">
        <v>514</v>
      </c>
    </row>
    <row r="257" spans="1:20" ht="14.25" customHeight="1">
      <c r="A257" s="27" t="s">
        <v>1907</v>
      </c>
      <c r="B257" s="28" t="str">
        <f t="shared" si="0"/>
        <v>Shirley</v>
      </c>
      <c r="C257" s="27" t="s">
        <v>198</v>
      </c>
      <c r="D257" s="27" t="s">
        <v>1908</v>
      </c>
      <c r="E257" s="28" t="str">
        <f t="shared" si="1"/>
        <v>Davenport</v>
      </c>
      <c r="F257" s="28" t="str">
        <f t="shared" si="2"/>
        <v>Shirley Davenport</v>
      </c>
      <c r="G257" s="27" t="s">
        <v>200</v>
      </c>
      <c r="H257" s="27" t="str">
        <f t="shared" si="3"/>
        <v>Female</v>
      </c>
      <c r="I257" s="27" t="s">
        <v>1909</v>
      </c>
      <c r="J257" s="27" t="s">
        <v>1910</v>
      </c>
      <c r="K257" s="27" t="s">
        <v>499</v>
      </c>
      <c r="L257" s="27">
        <v>83642</v>
      </c>
      <c r="M257" s="28" t="str">
        <f t="shared" si="4"/>
        <v>2863 Modoc Alley, Meridian, ID, 83642</v>
      </c>
      <c r="N257" s="27" t="s">
        <v>1911</v>
      </c>
      <c r="O257" s="27" t="s">
        <v>1912</v>
      </c>
      <c r="P257" s="28">
        <v>208</v>
      </c>
      <c r="Q257" s="28">
        <v>846</v>
      </c>
      <c r="R257" s="28">
        <v>4255</v>
      </c>
      <c r="S257" s="29" t="s">
        <v>1913</v>
      </c>
      <c r="T257" s="28">
        <v>103</v>
      </c>
    </row>
    <row r="258" spans="1:20" ht="14.25" customHeight="1">
      <c r="A258" s="27" t="s">
        <v>1914</v>
      </c>
      <c r="B258" s="28" t="str">
        <f t="shared" si="0"/>
        <v>Thomas</v>
      </c>
      <c r="C258" s="27" t="s">
        <v>465</v>
      </c>
      <c r="D258" s="27" t="s">
        <v>1915</v>
      </c>
      <c r="E258" s="28" t="str">
        <f t="shared" si="1"/>
        <v>Miller</v>
      </c>
      <c r="F258" s="28" t="str">
        <f t="shared" si="2"/>
        <v>Thomas Miller</v>
      </c>
      <c r="G258" s="27" t="s">
        <v>210</v>
      </c>
      <c r="H258" s="27" t="str">
        <f t="shared" si="3"/>
        <v>Male</v>
      </c>
      <c r="I258" s="27" t="s">
        <v>1916</v>
      </c>
      <c r="J258" s="27" t="s">
        <v>1917</v>
      </c>
      <c r="K258" s="27" t="s">
        <v>1800</v>
      </c>
      <c r="L258" s="27">
        <v>6702</v>
      </c>
      <c r="M258" s="28" t="str">
        <f t="shared" si="4"/>
        <v>4598 Asylum Avenue, Waterbury, CT, 6702</v>
      </c>
      <c r="N258" s="27" t="s">
        <v>1918</v>
      </c>
      <c r="O258" s="27" t="s">
        <v>1919</v>
      </c>
      <c r="P258" s="28">
        <v>203</v>
      </c>
      <c r="Q258" s="28">
        <v>756</v>
      </c>
      <c r="R258" s="28">
        <v>4654</v>
      </c>
      <c r="S258" s="29" t="s">
        <v>1920</v>
      </c>
      <c r="T258" s="28">
        <v>58</v>
      </c>
    </row>
    <row r="259" spans="1:20" ht="14.25" customHeight="1">
      <c r="A259" s="27" t="s">
        <v>1921</v>
      </c>
      <c r="B259" s="28" t="str">
        <f t="shared" si="0"/>
        <v>Bobby</v>
      </c>
      <c r="C259" s="27" t="s">
        <v>317</v>
      </c>
      <c r="D259" s="27" t="s">
        <v>1922</v>
      </c>
      <c r="E259" s="28" t="str">
        <f t="shared" si="1"/>
        <v>Peterson</v>
      </c>
      <c r="F259" s="28" t="str">
        <f t="shared" si="2"/>
        <v>Bobby Peterson</v>
      </c>
      <c r="G259" s="27" t="s">
        <v>210</v>
      </c>
      <c r="H259" s="27" t="str">
        <f t="shared" si="3"/>
        <v>Male</v>
      </c>
      <c r="I259" s="27" t="s">
        <v>1923</v>
      </c>
      <c r="J259" s="27" t="s">
        <v>601</v>
      </c>
      <c r="K259" s="27" t="s">
        <v>345</v>
      </c>
      <c r="L259" s="27">
        <v>37201</v>
      </c>
      <c r="M259" s="28" t="str">
        <f t="shared" si="4"/>
        <v>3420 Glory Road, Nashville, TN, 37201</v>
      </c>
      <c r="N259" s="27" t="s">
        <v>1924</v>
      </c>
      <c r="O259" s="27" t="s">
        <v>1925</v>
      </c>
      <c r="P259" s="28">
        <v>931</v>
      </c>
      <c r="Q259" s="28">
        <v>903</v>
      </c>
      <c r="R259" s="28">
        <v>7838</v>
      </c>
      <c r="S259" s="29" t="s">
        <v>1926</v>
      </c>
      <c r="T259" s="28">
        <v>908</v>
      </c>
    </row>
    <row r="260" spans="1:20" ht="14.25" customHeight="1">
      <c r="A260" s="27" t="s">
        <v>1927</v>
      </c>
      <c r="B260" s="28" t="str">
        <f t="shared" si="0"/>
        <v>Cecelia</v>
      </c>
      <c r="C260" s="27" t="s">
        <v>235</v>
      </c>
      <c r="D260" s="27" t="s">
        <v>1928</v>
      </c>
      <c r="E260" s="28" t="str">
        <f t="shared" si="1"/>
        <v>Maniscalco</v>
      </c>
      <c r="F260" s="28" t="str">
        <f t="shared" si="2"/>
        <v>Cecelia Maniscalco</v>
      </c>
      <c r="G260" s="27" t="s">
        <v>200</v>
      </c>
      <c r="H260" s="27" t="str">
        <f t="shared" si="3"/>
        <v>Female</v>
      </c>
      <c r="I260" s="27" t="s">
        <v>1929</v>
      </c>
      <c r="J260" s="27" t="s">
        <v>1930</v>
      </c>
      <c r="K260" s="27" t="s">
        <v>650</v>
      </c>
      <c r="L260" s="27">
        <v>74003</v>
      </c>
      <c r="M260" s="28" t="str">
        <f t="shared" si="4"/>
        <v>208 Hornor Avenue, Bartlesville, OK, 74003</v>
      </c>
      <c r="N260" s="27" t="s">
        <v>1931</v>
      </c>
      <c r="O260" s="27" t="s">
        <v>1932</v>
      </c>
      <c r="P260" s="28">
        <v>918</v>
      </c>
      <c r="Q260" s="28">
        <v>327</v>
      </c>
      <c r="R260" s="28">
        <v>4974</v>
      </c>
      <c r="S260" s="29" t="s">
        <v>1933</v>
      </c>
      <c r="T260" s="28">
        <v>6507</v>
      </c>
    </row>
    <row r="261" spans="1:20" ht="14.25" customHeight="1">
      <c r="A261" s="27" t="s">
        <v>1583</v>
      </c>
      <c r="B261" s="28" t="str">
        <f t="shared" si="0"/>
        <v>Dorothy</v>
      </c>
      <c r="C261" s="27" t="s">
        <v>226</v>
      </c>
      <c r="D261" s="27" t="s">
        <v>1934</v>
      </c>
      <c r="E261" s="28" t="str">
        <f t="shared" si="1"/>
        <v>Curry</v>
      </c>
      <c r="F261" s="28" t="str">
        <f t="shared" si="2"/>
        <v>Dorothy Curry</v>
      </c>
      <c r="G261" s="27" t="s">
        <v>200</v>
      </c>
      <c r="H261" s="27" t="str">
        <f t="shared" si="3"/>
        <v>Female</v>
      </c>
      <c r="I261" s="27" t="s">
        <v>1935</v>
      </c>
      <c r="J261" s="27" t="s">
        <v>1936</v>
      </c>
      <c r="K261" s="27" t="s">
        <v>424</v>
      </c>
      <c r="L261" s="27">
        <v>27401</v>
      </c>
      <c r="M261" s="28" t="str">
        <f t="shared" si="4"/>
        <v>3950 Bryan Street, Greensboro, NC, 27401</v>
      </c>
      <c r="N261" s="27" t="s">
        <v>1937</v>
      </c>
      <c r="O261" s="27" t="s">
        <v>1938</v>
      </c>
      <c r="P261" s="28">
        <v>336</v>
      </c>
      <c r="Q261" s="28">
        <v>272</v>
      </c>
      <c r="R261" s="28">
        <v>7849</v>
      </c>
      <c r="S261" s="29" t="s">
        <v>1939</v>
      </c>
      <c r="T261" s="28">
        <v>83</v>
      </c>
    </row>
    <row r="262" spans="1:20" ht="14.25" customHeight="1">
      <c r="A262" s="27" t="s">
        <v>234</v>
      </c>
      <c r="B262" s="28" t="str">
        <f t="shared" si="0"/>
        <v>John</v>
      </c>
      <c r="C262" s="27" t="s">
        <v>309</v>
      </c>
      <c r="D262" s="27" t="s">
        <v>1940</v>
      </c>
      <c r="E262" s="28" t="str">
        <f t="shared" si="1"/>
        <v>Sutter</v>
      </c>
      <c r="F262" s="28" t="str">
        <f t="shared" si="2"/>
        <v>John Sutter</v>
      </c>
      <c r="G262" s="27" t="s">
        <v>210</v>
      </c>
      <c r="H262" s="27" t="str">
        <f t="shared" si="3"/>
        <v>Male</v>
      </c>
      <c r="I262" s="27" t="s">
        <v>1941</v>
      </c>
      <c r="J262" s="27" t="s">
        <v>1005</v>
      </c>
      <c r="K262" s="27" t="s">
        <v>491</v>
      </c>
      <c r="L262" s="27">
        <v>55406</v>
      </c>
      <c r="M262" s="28" t="str">
        <f t="shared" si="4"/>
        <v>3879 Rocket Drive, Minneapolis, MN, 55406</v>
      </c>
      <c r="N262" s="27" t="s">
        <v>1942</v>
      </c>
      <c r="O262" s="27" t="s">
        <v>1943</v>
      </c>
      <c r="P262" s="28">
        <v>612</v>
      </c>
      <c r="Q262" s="28">
        <v>802</v>
      </c>
      <c r="R262" s="28">
        <v>7642</v>
      </c>
      <c r="S262" s="29" t="s">
        <v>1944</v>
      </c>
      <c r="T262" s="28">
        <v>3278</v>
      </c>
    </row>
    <row r="263" spans="1:20" ht="14.25" customHeight="1">
      <c r="A263" s="27" t="s">
        <v>822</v>
      </c>
      <c r="B263" s="28" t="str">
        <f t="shared" si="0"/>
        <v>Michael</v>
      </c>
      <c r="C263" s="27" t="s">
        <v>334</v>
      </c>
      <c r="D263" s="27" t="s">
        <v>1945</v>
      </c>
      <c r="E263" s="28" t="str">
        <f t="shared" si="1"/>
        <v>Sackett</v>
      </c>
      <c r="F263" s="28" t="str">
        <f t="shared" si="2"/>
        <v>Michael Sackett</v>
      </c>
      <c r="G263" s="27" t="s">
        <v>210</v>
      </c>
      <c r="H263" s="27" t="str">
        <f t="shared" si="3"/>
        <v>Male</v>
      </c>
      <c r="I263" s="27" t="s">
        <v>1946</v>
      </c>
      <c r="J263" s="27" t="s">
        <v>1947</v>
      </c>
      <c r="K263" s="27" t="s">
        <v>272</v>
      </c>
      <c r="L263" s="27">
        <v>13064</v>
      </c>
      <c r="M263" s="28" t="str">
        <f t="shared" si="4"/>
        <v>1250 James Avenue, Fair Haven (Cayuga), NY, 13064</v>
      </c>
      <c r="N263" s="27" t="s">
        <v>1948</v>
      </c>
      <c r="O263" s="27" t="s">
        <v>1949</v>
      </c>
      <c r="P263" s="28">
        <v>315</v>
      </c>
      <c r="Q263" s="28">
        <v>947</v>
      </c>
      <c r="R263" s="28">
        <v>9213</v>
      </c>
      <c r="S263" s="29" t="s">
        <v>1950</v>
      </c>
      <c r="T263" s="28">
        <v>927</v>
      </c>
    </row>
    <row r="264" spans="1:20" ht="14.25" customHeight="1">
      <c r="A264" s="27" t="s">
        <v>1692</v>
      </c>
      <c r="B264" s="28" t="str">
        <f t="shared" si="0"/>
        <v>Paul</v>
      </c>
      <c r="C264" s="27" t="s">
        <v>350</v>
      </c>
      <c r="D264" s="27" t="s">
        <v>1951</v>
      </c>
      <c r="E264" s="28" t="str">
        <f t="shared" si="1"/>
        <v>Cook</v>
      </c>
      <c r="F264" s="28" t="str">
        <f t="shared" si="2"/>
        <v>Paul Cook</v>
      </c>
      <c r="G264" s="27" t="s">
        <v>210</v>
      </c>
      <c r="H264" s="27" t="str">
        <f t="shared" si="3"/>
        <v>Male</v>
      </c>
      <c r="I264" s="27" t="s">
        <v>1952</v>
      </c>
      <c r="J264" s="27" t="s">
        <v>1953</v>
      </c>
      <c r="K264" s="27" t="s">
        <v>491</v>
      </c>
      <c r="L264" s="27">
        <v>56141</v>
      </c>
      <c r="M264" s="28" t="str">
        <f t="shared" si="4"/>
        <v>1225 Rosewood Court, Iona, MN, 56141</v>
      </c>
      <c r="N264" s="27" t="s">
        <v>1954</v>
      </c>
      <c r="O264" s="27" t="s">
        <v>1955</v>
      </c>
      <c r="P264" s="28">
        <v>507</v>
      </c>
      <c r="Q264" s="28">
        <v>264</v>
      </c>
      <c r="R264" s="28">
        <v>9162</v>
      </c>
      <c r="S264" s="29" t="s">
        <v>1956</v>
      </c>
      <c r="T264" s="28">
        <v>736</v>
      </c>
    </row>
    <row r="265" spans="1:20" ht="14.25" customHeight="1">
      <c r="A265" s="27" t="s">
        <v>419</v>
      </c>
      <c r="B265" s="28" t="str">
        <f t="shared" si="0"/>
        <v>Robert</v>
      </c>
      <c r="C265" s="27" t="s">
        <v>235</v>
      </c>
      <c r="D265" s="27" t="s">
        <v>1957</v>
      </c>
      <c r="E265" s="28" t="str">
        <f t="shared" si="1"/>
        <v>Behrens</v>
      </c>
      <c r="F265" s="28" t="str">
        <f t="shared" si="2"/>
        <v>Robert Behrens</v>
      </c>
      <c r="G265" s="27" t="s">
        <v>210</v>
      </c>
      <c r="H265" s="27" t="str">
        <f t="shared" si="3"/>
        <v>Male</v>
      </c>
      <c r="I265" s="27" t="s">
        <v>1958</v>
      </c>
      <c r="J265" s="27" t="s">
        <v>1325</v>
      </c>
      <c r="K265" s="27" t="s">
        <v>272</v>
      </c>
      <c r="L265" s="27">
        <v>10033</v>
      </c>
      <c r="M265" s="28" t="str">
        <f t="shared" si="4"/>
        <v>714 Rosewood Lane, New York, NY, 10033</v>
      </c>
      <c r="N265" s="27" t="s">
        <v>1959</v>
      </c>
      <c r="O265" s="27" t="s">
        <v>1960</v>
      </c>
      <c r="P265" s="28">
        <v>212</v>
      </c>
      <c r="Q265" s="28">
        <v>923</v>
      </c>
      <c r="R265" s="28">
        <v>87</v>
      </c>
      <c r="S265" s="29" t="s">
        <v>1961</v>
      </c>
      <c r="T265" s="28">
        <v>435</v>
      </c>
    </row>
    <row r="266" spans="1:20" ht="14.25" customHeight="1">
      <c r="A266" s="27" t="s">
        <v>1962</v>
      </c>
      <c r="B266" s="28" t="str">
        <f t="shared" si="0"/>
        <v>Chester</v>
      </c>
      <c r="C266" s="27" t="s">
        <v>208</v>
      </c>
      <c r="D266" s="27" t="s">
        <v>1963</v>
      </c>
      <c r="E266" s="28" t="str">
        <f t="shared" si="1"/>
        <v>Robinson</v>
      </c>
      <c r="F266" s="28" t="str">
        <f t="shared" si="2"/>
        <v>Chester Robinson</v>
      </c>
      <c r="G266" s="27" t="s">
        <v>210</v>
      </c>
      <c r="H266" s="27" t="str">
        <f t="shared" si="3"/>
        <v>Male</v>
      </c>
      <c r="I266" s="27" t="s">
        <v>1964</v>
      </c>
      <c r="J266" s="27" t="s">
        <v>1965</v>
      </c>
      <c r="K266" s="27" t="s">
        <v>491</v>
      </c>
      <c r="L266" s="27">
        <v>56001</v>
      </c>
      <c r="M266" s="28" t="str">
        <f t="shared" si="4"/>
        <v>202 Pritchard Court, Mankato, MN, 56001</v>
      </c>
      <c r="N266" s="27" t="s">
        <v>1966</v>
      </c>
      <c r="O266" s="27" t="s">
        <v>1967</v>
      </c>
      <c r="P266" s="28">
        <v>507</v>
      </c>
      <c r="Q266" s="28">
        <v>380</v>
      </c>
      <c r="R266" s="28">
        <v>7249</v>
      </c>
      <c r="S266" s="29" t="s">
        <v>1968</v>
      </c>
      <c r="T266" s="28">
        <v>1070</v>
      </c>
    </row>
    <row r="267" spans="1:20" ht="14.25" customHeight="1">
      <c r="A267" s="27" t="s">
        <v>1969</v>
      </c>
      <c r="B267" s="28" t="str">
        <f t="shared" si="0"/>
        <v>Fredrick</v>
      </c>
      <c r="C267" s="27" t="s">
        <v>438</v>
      </c>
      <c r="D267" s="27" t="s">
        <v>1970</v>
      </c>
      <c r="E267" s="28" t="str">
        <f t="shared" si="1"/>
        <v>Kirst</v>
      </c>
      <c r="F267" s="28" t="str">
        <f t="shared" si="2"/>
        <v>Fredrick Kirst</v>
      </c>
      <c r="G267" s="27" t="s">
        <v>210</v>
      </c>
      <c r="H267" s="27" t="str">
        <f t="shared" si="3"/>
        <v>Male</v>
      </c>
      <c r="I267" s="27" t="s">
        <v>1971</v>
      </c>
      <c r="J267" s="27" t="s">
        <v>1972</v>
      </c>
      <c r="K267" s="27" t="s">
        <v>256</v>
      </c>
      <c r="L267" s="27">
        <v>75601</v>
      </c>
      <c r="M267" s="28" t="str">
        <f t="shared" si="4"/>
        <v>3617 Pickens Way, Longview, TX, 75601</v>
      </c>
      <c r="N267" s="27" t="s">
        <v>1973</v>
      </c>
      <c r="O267" s="27" t="s">
        <v>1974</v>
      </c>
      <c r="P267" s="28">
        <v>903</v>
      </c>
      <c r="Q267" s="28">
        <v>330</v>
      </c>
      <c r="R267" s="28">
        <v>685</v>
      </c>
      <c r="S267" s="29" t="s">
        <v>1975</v>
      </c>
      <c r="T267" s="28">
        <v>1546</v>
      </c>
    </row>
    <row r="268" spans="1:20" ht="14.25" customHeight="1">
      <c r="A268" s="27" t="s">
        <v>1976</v>
      </c>
      <c r="B268" s="28" t="str">
        <f t="shared" si="0"/>
        <v>Randall</v>
      </c>
      <c r="C268" s="27" t="s">
        <v>235</v>
      </c>
      <c r="D268" s="27" t="s">
        <v>1977</v>
      </c>
      <c r="E268" s="28" t="str">
        <f t="shared" si="1"/>
        <v>Beaty</v>
      </c>
      <c r="F268" s="28" t="str">
        <f t="shared" si="2"/>
        <v>Randall Beaty</v>
      </c>
      <c r="G268" s="27" t="s">
        <v>210</v>
      </c>
      <c r="H268" s="27" t="str">
        <f t="shared" si="3"/>
        <v>Male</v>
      </c>
      <c r="I268" s="27" t="s">
        <v>1978</v>
      </c>
      <c r="J268" s="27" t="s">
        <v>1979</v>
      </c>
      <c r="K268" s="27" t="s">
        <v>415</v>
      </c>
      <c r="L268" s="27">
        <v>30601</v>
      </c>
      <c r="M268" s="28" t="str">
        <f t="shared" si="4"/>
        <v>860 Davis Street, Athens, GA, 30601</v>
      </c>
      <c r="N268" s="27" t="s">
        <v>1980</v>
      </c>
      <c r="O268" s="27" t="s">
        <v>1981</v>
      </c>
      <c r="P268" s="28">
        <v>706</v>
      </c>
      <c r="Q268" s="28">
        <v>389</v>
      </c>
      <c r="R268" s="28">
        <v>3066</v>
      </c>
      <c r="S268" s="29" t="s">
        <v>1982</v>
      </c>
      <c r="T268" s="28">
        <v>924</v>
      </c>
    </row>
    <row r="269" spans="1:20" ht="14.25" customHeight="1">
      <c r="A269" s="27" t="s">
        <v>1043</v>
      </c>
      <c r="B269" s="28" t="str">
        <f t="shared" si="0"/>
        <v>Linda</v>
      </c>
      <c r="C269" s="27" t="s">
        <v>300</v>
      </c>
      <c r="D269" s="27" t="s">
        <v>1897</v>
      </c>
      <c r="E269" s="28" t="str">
        <f t="shared" si="1"/>
        <v>Hernandez</v>
      </c>
      <c r="F269" s="28" t="str">
        <f t="shared" si="2"/>
        <v>Linda Hernandez</v>
      </c>
      <c r="G269" s="27" t="s">
        <v>200</v>
      </c>
      <c r="H269" s="27" t="str">
        <f t="shared" si="3"/>
        <v>Female</v>
      </c>
      <c r="I269" s="27" t="s">
        <v>1983</v>
      </c>
      <c r="J269" s="27" t="s">
        <v>1984</v>
      </c>
      <c r="K269" s="27" t="s">
        <v>272</v>
      </c>
      <c r="L269" s="27">
        <v>14424</v>
      </c>
      <c r="M269" s="28" t="str">
        <f t="shared" si="4"/>
        <v>2354 Walt Nuzum Farm Road, Canandaigua, NY, 14424</v>
      </c>
      <c r="N269" s="27" t="s">
        <v>1985</v>
      </c>
      <c r="O269" s="27" t="s">
        <v>1986</v>
      </c>
      <c r="P269" s="28">
        <v>585</v>
      </c>
      <c r="Q269" s="28">
        <v>396</v>
      </c>
      <c r="R269" s="28">
        <v>9512</v>
      </c>
      <c r="S269" s="29" t="s">
        <v>1987</v>
      </c>
      <c r="T269" s="28">
        <v>8968</v>
      </c>
    </row>
    <row r="270" spans="1:20" ht="14.25" customHeight="1">
      <c r="A270" s="27" t="s">
        <v>1988</v>
      </c>
      <c r="B270" s="28" t="str">
        <f t="shared" si="0"/>
        <v>Jerome</v>
      </c>
      <c r="C270" s="27" t="s">
        <v>511</v>
      </c>
      <c r="D270" s="27" t="s">
        <v>1989</v>
      </c>
      <c r="E270" s="28" t="str">
        <f t="shared" si="1"/>
        <v>Perry</v>
      </c>
      <c r="F270" s="28" t="str">
        <f t="shared" si="2"/>
        <v>Jerome Perry</v>
      </c>
      <c r="G270" s="27" t="s">
        <v>210</v>
      </c>
      <c r="H270" s="27" t="str">
        <f t="shared" si="3"/>
        <v>Male</v>
      </c>
      <c r="I270" s="27" t="s">
        <v>1990</v>
      </c>
      <c r="J270" s="27" t="s">
        <v>1991</v>
      </c>
      <c r="K270" s="27" t="s">
        <v>706</v>
      </c>
      <c r="L270" s="27">
        <v>15904</v>
      </c>
      <c r="M270" s="28" t="str">
        <f t="shared" si="4"/>
        <v>440 Harley Brook Lane, Johnstown, PA, 15904</v>
      </c>
      <c r="N270" s="27" t="s">
        <v>1992</v>
      </c>
      <c r="O270" s="27" t="s">
        <v>1993</v>
      </c>
      <c r="P270" s="28">
        <v>814</v>
      </c>
      <c r="Q270" s="28">
        <v>599</v>
      </c>
      <c r="R270" s="28">
        <v>6725</v>
      </c>
      <c r="S270" s="29" t="s">
        <v>1994</v>
      </c>
      <c r="T270" s="28">
        <v>719</v>
      </c>
    </row>
    <row r="271" spans="1:20" ht="14.25" customHeight="1">
      <c r="A271" s="27" t="s">
        <v>496</v>
      </c>
      <c r="B271" s="28" t="str">
        <f t="shared" si="0"/>
        <v>Richard</v>
      </c>
      <c r="C271" s="27" t="s">
        <v>226</v>
      </c>
      <c r="D271" s="27" t="s">
        <v>1995</v>
      </c>
      <c r="E271" s="28" t="str">
        <f t="shared" si="1"/>
        <v>Pittman</v>
      </c>
      <c r="F271" s="28" t="str">
        <f t="shared" si="2"/>
        <v>Richard Pittman</v>
      </c>
      <c r="G271" s="27" t="s">
        <v>210</v>
      </c>
      <c r="H271" s="27" t="str">
        <f t="shared" si="3"/>
        <v>Male</v>
      </c>
      <c r="I271" s="27" t="s">
        <v>1996</v>
      </c>
      <c r="J271" s="27" t="s">
        <v>1997</v>
      </c>
      <c r="K271" s="27" t="s">
        <v>321</v>
      </c>
      <c r="L271" s="27">
        <v>54481</v>
      </c>
      <c r="M271" s="28" t="str">
        <f t="shared" si="4"/>
        <v>3874 Tea Berry Lane, Stevens Point, WI, 54481</v>
      </c>
      <c r="N271" s="27" t="s">
        <v>1998</v>
      </c>
      <c r="O271" s="27" t="s">
        <v>1999</v>
      </c>
      <c r="P271" s="28">
        <v>715</v>
      </c>
      <c r="Q271" s="28">
        <v>722</v>
      </c>
      <c r="R271" s="28">
        <v>751</v>
      </c>
      <c r="S271" s="29" t="s">
        <v>2000</v>
      </c>
      <c r="T271" s="28">
        <v>346</v>
      </c>
    </row>
    <row r="272" spans="1:20" ht="14.25" customHeight="1">
      <c r="A272" s="27" t="s">
        <v>2001</v>
      </c>
      <c r="B272" s="28" t="str">
        <f t="shared" si="0"/>
        <v>Helen</v>
      </c>
      <c r="C272" s="27" t="s">
        <v>235</v>
      </c>
      <c r="D272" s="27" t="s">
        <v>2002</v>
      </c>
      <c r="E272" s="28" t="str">
        <f t="shared" si="1"/>
        <v>Olson</v>
      </c>
      <c r="F272" s="28" t="str">
        <f t="shared" si="2"/>
        <v>Helen Olson</v>
      </c>
      <c r="G272" s="27" t="s">
        <v>200</v>
      </c>
      <c r="H272" s="27" t="str">
        <f t="shared" si="3"/>
        <v>Female</v>
      </c>
      <c r="I272" s="27" t="s">
        <v>2003</v>
      </c>
      <c r="J272" s="27" t="s">
        <v>2004</v>
      </c>
      <c r="K272" s="27" t="s">
        <v>272</v>
      </c>
      <c r="L272" s="27">
        <v>13057</v>
      </c>
      <c r="M272" s="28" t="str">
        <f t="shared" si="4"/>
        <v>2493 Oak Street, East Syracuse, NY, 13057</v>
      </c>
      <c r="N272" s="27" t="s">
        <v>2005</v>
      </c>
      <c r="O272" s="27" t="s">
        <v>2006</v>
      </c>
      <c r="P272" s="28">
        <v>315</v>
      </c>
      <c r="Q272" s="28">
        <v>405</v>
      </c>
      <c r="R272" s="28">
        <v>8099</v>
      </c>
      <c r="S272" s="29" t="s">
        <v>2007</v>
      </c>
      <c r="T272" s="28">
        <v>7943</v>
      </c>
    </row>
    <row r="273" spans="1:20" ht="14.25" customHeight="1">
      <c r="A273" s="27" t="s">
        <v>2008</v>
      </c>
      <c r="B273" s="28" t="str">
        <f t="shared" si="0"/>
        <v>Ruth</v>
      </c>
      <c r="C273" s="27" t="s">
        <v>533</v>
      </c>
      <c r="D273" s="27" t="s">
        <v>1839</v>
      </c>
      <c r="E273" s="28" t="str">
        <f t="shared" si="1"/>
        <v>Ward</v>
      </c>
      <c r="F273" s="28" t="str">
        <f t="shared" si="2"/>
        <v>Ruth Ward</v>
      </c>
      <c r="G273" s="27" t="s">
        <v>200</v>
      </c>
      <c r="H273" s="27" t="str">
        <f t="shared" si="3"/>
        <v>Female</v>
      </c>
      <c r="I273" s="27" t="s">
        <v>2009</v>
      </c>
      <c r="J273" s="27" t="s">
        <v>2010</v>
      </c>
      <c r="K273" s="27" t="s">
        <v>256</v>
      </c>
      <c r="L273" s="27">
        <v>78550</v>
      </c>
      <c r="M273" s="28" t="str">
        <f t="shared" si="4"/>
        <v>2706 Adamsville Road, Harlingen, TX, 78550</v>
      </c>
      <c r="N273" s="27" t="s">
        <v>2011</v>
      </c>
      <c r="O273" s="27" t="s">
        <v>2012</v>
      </c>
      <c r="P273" s="28">
        <v>956</v>
      </c>
      <c r="Q273" s="28">
        <v>707</v>
      </c>
      <c r="R273" s="28">
        <v>282</v>
      </c>
      <c r="S273" s="29" t="s">
        <v>2013</v>
      </c>
      <c r="T273" s="28">
        <v>3</v>
      </c>
    </row>
    <row r="274" spans="1:20" ht="14.25" customHeight="1">
      <c r="A274" s="27" t="s">
        <v>1131</v>
      </c>
      <c r="B274" s="28" t="str">
        <f t="shared" si="0"/>
        <v>Gregory</v>
      </c>
      <c r="C274" s="27" t="s">
        <v>198</v>
      </c>
      <c r="D274" s="27" t="s">
        <v>2014</v>
      </c>
      <c r="E274" s="28" t="str">
        <f t="shared" si="1"/>
        <v>Read</v>
      </c>
      <c r="F274" s="28" t="str">
        <f t="shared" si="2"/>
        <v>Gregory Read</v>
      </c>
      <c r="G274" s="27" t="s">
        <v>210</v>
      </c>
      <c r="H274" s="27" t="str">
        <f t="shared" si="3"/>
        <v>Male</v>
      </c>
      <c r="I274" s="27" t="s">
        <v>2015</v>
      </c>
      <c r="J274" s="27" t="s">
        <v>295</v>
      </c>
      <c r="K274" s="27" t="s">
        <v>256</v>
      </c>
      <c r="L274" s="27">
        <v>75247</v>
      </c>
      <c r="M274" s="28" t="str">
        <f t="shared" si="4"/>
        <v>208 Liberty Street, Dallas, TX, 75247</v>
      </c>
      <c r="N274" s="27" t="s">
        <v>2016</v>
      </c>
      <c r="O274" s="27" t="s">
        <v>2017</v>
      </c>
      <c r="P274" s="28">
        <v>214</v>
      </c>
      <c r="Q274" s="28">
        <v>905</v>
      </c>
      <c r="R274" s="28">
        <v>1653</v>
      </c>
      <c r="S274" s="29" t="s">
        <v>2018</v>
      </c>
      <c r="T274" s="28">
        <v>8565</v>
      </c>
    </row>
    <row r="275" spans="1:20" ht="14.25" customHeight="1">
      <c r="A275" s="27" t="s">
        <v>822</v>
      </c>
      <c r="B275" s="28" t="str">
        <f t="shared" si="0"/>
        <v>Michael</v>
      </c>
      <c r="C275" s="27" t="s">
        <v>226</v>
      </c>
      <c r="D275" s="27" t="s">
        <v>2019</v>
      </c>
      <c r="E275" s="28" t="str">
        <f t="shared" si="1"/>
        <v>Schiro</v>
      </c>
      <c r="F275" s="28" t="str">
        <f t="shared" si="2"/>
        <v>Michael Schiro</v>
      </c>
      <c r="G275" s="27" t="s">
        <v>210</v>
      </c>
      <c r="H275" s="27" t="str">
        <f t="shared" si="3"/>
        <v>Male</v>
      </c>
      <c r="I275" s="27" t="s">
        <v>2020</v>
      </c>
      <c r="J275" s="27" t="s">
        <v>2021</v>
      </c>
      <c r="K275" s="27" t="s">
        <v>706</v>
      </c>
      <c r="L275" s="27">
        <v>19403</v>
      </c>
      <c r="M275" s="28" t="str">
        <f t="shared" si="4"/>
        <v>2276 Clinton Street, Norristown, PA, 19403</v>
      </c>
      <c r="N275" s="27" t="s">
        <v>2022</v>
      </c>
      <c r="O275" s="27" t="s">
        <v>2023</v>
      </c>
      <c r="P275" s="28">
        <v>484</v>
      </c>
      <c r="Q275" s="28">
        <v>979</v>
      </c>
      <c r="R275" s="28">
        <v>2720</v>
      </c>
      <c r="S275" s="29" t="s">
        <v>2024</v>
      </c>
      <c r="T275" s="28">
        <v>7700</v>
      </c>
    </row>
    <row r="276" spans="1:20" ht="14.25" customHeight="1">
      <c r="A276" s="27" t="s">
        <v>2025</v>
      </c>
      <c r="B276" s="28" t="str">
        <f t="shared" si="0"/>
        <v>Fumiko</v>
      </c>
      <c r="C276" s="27" t="s">
        <v>381</v>
      </c>
      <c r="D276" s="27" t="s">
        <v>2026</v>
      </c>
      <c r="E276" s="28" t="str">
        <f t="shared" si="1"/>
        <v>Estep</v>
      </c>
      <c r="F276" s="28" t="str">
        <f t="shared" si="2"/>
        <v>Fumiko Estep</v>
      </c>
      <c r="G276" s="27" t="s">
        <v>200</v>
      </c>
      <c r="H276" s="27" t="str">
        <f t="shared" si="3"/>
        <v>Female</v>
      </c>
      <c r="I276" s="27" t="s">
        <v>2027</v>
      </c>
      <c r="J276" s="27" t="s">
        <v>2028</v>
      </c>
      <c r="K276" s="27" t="s">
        <v>1800</v>
      </c>
      <c r="L276" s="27">
        <v>6770</v>
      </c>
      <c r="M276" s="28" t="str">
        <f t="shared" si="4"/>
        <v>1121 Asylum Avenue, Naugatuck, CT, 6770</v>
      </c>
      <c r="N276" s="27" t="s">
        <v>2029</v>
      </c>
      <c r="O276" s="27" t="s">
        <v>2030</v>
      </c>
      <c r="P276" s="28">
        <v>203</v>
      </c>
      <c r="Q276" s="28">
        <v>720</v>
      </c>
      <c r="R276" s="28">
        <v>8403</v>
      </c>
      <c r="S276" s="29" t="s">
        <v>2031</v>
      </c>
      <c r="T276" s="28">
        <v>163</v>
      </c>
    </row>
    <row r="277" spans="1:20" ht="14.25" customHeight="1">
      <c r="A277" s="27" t="s">
        <v>822</v>
      </c>
      <c r="B277" s="28" t="str">
        <f t="shared" si="0"/>
        <v>Michael</v>
      </c>
      <c r="C277" s="27" t="s">
        <v>235</v>
      </c>
      <c r="D277" s="27" t="s">
        <v>2032</v>
      </c>
      <c r="E277" s="28" t="str">
        <f t="shared" si="1"/>
        <v>Pinney</v>
      </c>
      <c r="F277" s="28" t="str">
        <f t="shared" si="2"/>
        <v>Michael Pinney</v>
      </c>
      <c r="G277" s="27" t="s">
        <v>210</v>
      </c>
      <c r="H277" s="27" t="str">
        <f t="shared" si="3"/>
        <v>Male</v>
      </c>
      <c r="I277" s="27" t="s">
        <v>2033</v>
      </c>
      <c r="J277" s="27" t="s">
        <v>2034</v>
      </c>
      <c r="K277" s="27" t="s">
        <v>272</v>
      </c>
      <c r="L277" s="27">
        <v>11530</v>
      </c>
      <c r="M277" s="28" t="str">
        <f t="shared" si="4"/>
        <v>3149 Stanley Avenue, Garden City, NY, 11530</v>
      </c>
      <c r="N277" s="27" t="s">
        <v>2035</v>
      </c>
      <c r="O277" s="27" t="s">
        <v>2036</v>
      </c>
      <c r="P277" s="28">
        <v>516</v>
      </c>
      <c r="Q277" s="28">
        <v>534</v>
      </c>
      <c r="R277" s="28">
        <v>2203</v>
      </c>
      <c r="S277" s="29" t="s">
        <v>2037</v>
      </c>
      <c r="T277" s="28">
        <v>7865</v>
      </c>
    </row>
    <row r="278" spans="1:20" ht="14.25" customHeight="1">
      <c r="A278" s="27" t="s">
        <v>2038</v>
      </c>
      <c r="B278" s="28" t="str">
        <f t="shared" si="0"/>
        <v>Jessica</v>
      </c>
      <c r="C278" s="27" t="s">
        <v>334</v>
      </c>
      <c r="D278" s="27" t="s">
        <v>2039</v>
      </c>
      <c r="E278" s="28" t="str">
        <f t="shared" si="1"/>
        <v>Chaudhry</v>
      </c>
      <c r="F278" s="28" t="str">
        <f t="shared" si="2"/>
        <v>Jessica Chaudhry</v>
      </c>
      <c r="G278" s="27" t="s">
        <v>200</v>
      </c>
      <c r="H278" s="27" t="str">
        <f t="shared" si="3"/>
        <v>Female</v>
      </c>
      <c r="I278" s="27" t="s">
        <v>2040</v>
      </c>
      <c r="J278" s="27" t="s">
        <v>2041</v>
      </c>
      <c r="K278" s="27" t="s">
        <v>221</v>
      </c>
      <c r="L278" s="27">
        <v>8070</v>
      </c>
      <c r="M278" s="28" t="str">
        <f t="shared" si="4"/>
        <v>4111 Prospect Street, Pennsville, NJ, 8070</v>
      </c>
      <c r="N278" s="27" t="s">
        <v>2042</v>
      </c>
      <c r="O278" s="27" t="s">
        <v>2043</v>
      </c>
      <c r="P278" s="28">
        <v>856</v>
      </c>
      <c r="Q278" s="28">
        <v>678</v>
      </c>
      <c r="R278" s="28">
        <v>16</v>
      </c>
      <c r="S278" s="29" t="s">
        <v>2044</v>
      </c>
      <c r="T278" s="28">
        <v>6869</v>
      </c>
    </row>
    <row r="279" spans="1:20" ht="14.25" customHeight="1">
      <c r="A279" s="27" t="s">
        <v>2045</v>
      </c>
      <c r="B279" s="28" t="str">
        <f t="shared" si="0"/>
        <v>Emilia</v>
      </c>
      <c r="C279" s="27" t="s">
        <v>252</v>
      </c>
      <c r="D279" s="27" t="s">
        <v>578</v>
      </c>
      <c r="E279" s="28" t="str">
        <f t="shared" si="1"/>
        <v>Brown</v>
      </c>
      <c r="F279" s="28" t="str">
        <f t="shared" si="2"/>
        <v>Emilia Brown</v>
      </c>
      <c r="G279" s="27" t="s">
        <v>200</v>
      </c>
      <c r="H279" s="27" t="str">
        <f t="shared" si="3"/>
        <v>Female</v>
      </c>
      <c r="I279" s="27" t="s">
        <v>2046</v>
      </c>
      <c r="J279" s="27" t="s">
        <v>2047</v>
      </c>
      <c r="K279" s="27" t="s">
        <v>1188</v>
      </c>
      <c r="L279" s="27">
        <v>29536</v>
      </c>
      <c r="M279" s="28" t="str">
        <f t="shared" si="4"/>
        <v>1962 Camden Place, Dillon, SC, 29536</v>
      </c>
      <c r="N279" s="27" t="s">
        <v>2048</v>
      </c>
      <c r="O279" s="27" t="s">
        <v>2049</v>
      </c>
      <c r="P279" s="28">
        <v>843</v>
      </c>
      <c r="Q279" s="28">
        <v>841</v>
      </c>
      <c r="R279" s="28">
        <v>937</v>
      </c>
      <c r="S279" s="29" t="s">
        <v>2050</v>
      </c>
      <c r="T279" s="28">
        <v>7772</v>
      </c>
    </row>
    <row r="280" spans="1:20" ht="14.25" customHeight="1">
      <c r="A280" s="27" t="s">
        <v>1010</v>
      </c>
      <c r="B280" s="28" t="str">
        <f t="shared" si="0"/>
        <v>Kenneth</v>
      </c>
      <c r="C280" s="27" t="s">
        <v>334</v>
      </c>
      <c r="D280" s="27" t="s">
        <v>1206</v>
      </c>
      <c r="E280" s="28" t="str">
        <f t="shared" si="1"/>
        <v>Hughes</v>
      </c>
      <c r="F280" s="28" t="str">
        <f t="shared" si="2"/>
        <v>Kenneth Hughes</v>
      </c>
      <c r="G280" s="27" t="s">
        <v>210</v>
      </c>
      <c r="H280" s="27" t="str">
        <f t="shared" si="3"/>
        <v>Male</v>
      </c>
      <c r="I280" s="27" t="s">
        <v>2051</v>
      </c>
      <c r="J280" s="27" t="s">
        <v>2052</v>
      </c>
      <c r="K280" s="27" t="s">
        <v>491</v>
      </c>
      <c r="L280" s="27">
        <v>51334</v>
      </c>
      <c r="M280" s="28" t="str">
        <f t="shared" si="4"/>
        <v>1522 Pineview Drive, Estherville, MN, 51334</v>
      </c>
      <c r="N280" s="27" t="s">
        <v>2053</v>
      </c>
      <c r="O280" s="27" t="s">
        <v>2054</v>
      </c>
      <c r="P280" s="28">
        <v>507</v>
      </c>
      <c r="Q280" s="28">
        <v>862</v>
      </c>
      <c r="R280" s="28">
        <v>7634</v>
      </c>
      <c r="S280" s="29" t="s">
        <v>2055</v>
      </c>
      <c r="T280" s="28">
        <v>7037</v>
      </c>
    </row>
    <row r="281" spans="1:20" ht="14.25" customHeight="1">
      <c r="A281" s="27" t="s">
        <v>836</v>
      </c>
      <c r="B281" s="28" t="str">
        <f t="shared" si="0"/>
        <v>Janet</v>
      </c>
      <c r="C281" s="27" t="s">
        <v>334</v>
      </c>
      <c r="D281" s="27" t="s">
        <v>2056</v>
      </c>
      <c r="E281" s="28" t="str">
        <f t="shared" si="1"/>
        <v>Mccary</v>
      </c>
      <c r="F281" s="28" t="str">
        <f t="shared" si="2"/>
        <v>Janet Mccary</v>
      </c>
      <c r="G281" s="27" t="s">
        <v>200</v>
      </c>
      <c r="H281" s="27" t="str">
        <f t="shared" si="3"/>
        <v>Female</v>
      </c>
      <c r="I281" s="27" t="s">
        <v>2057</v>
      </c>
      <c r="J281" s="27" t="s">
        <v>898</v>
      </c>
      <c r="K281" s="27" t="s">
        <v>433</v>
      </c>
      <c r="L281" s="27">
        <v>1109</v>
      </c>
      <c r="M281" s="28" t="str">
        <f t="shared" si="4"/>
        <v>1882 Hilltop Street, Springfield, MA, 1109</v>
      </c>
      <c r="N281" s="27" t="s">
        <v>2058</v>
      </c>
      <c r="O281" s="27" t="s">
        <v>2059</v>
      </c>
      <c r="P281" s="28">
        <v>413</v>
      </c>
      <c r="Q281" s="28">
        <v>612</v>
      </c>
      <c r="R281" s="28">
        <v>2907</v>
      </c>
      <c r="S281" s="29" t="s">
        <v>2060</v>
      </c>
      <c r="T281" s="28">
        <v>158</v>
      </c>
    </row>
    <row r="282" spans="1:20" ht="14.25" customHeight="1">
      <c r="A282" s="27" t="s">
        <v>882</v>
      </c>
      <c r="B282" s="28" t="str">
        <f t="shared" si="0"/>
        <v>Jason</v>
      </c>
      <c r="C282" s="27" t="s">
        <v>438</v>
      </c>
      <c r="D282" s="27" t="s">
        <v>2061</v>
      </c>
      <c r="E282" s="28" t="str">
        <f t="shared" si="1"/>
        <v>Almanza</v>
      </c>
      <c r="F282" s="28" t="str">
        <f t="shared" si="2"/>
        <v>Jason Almanza</v>
      </c>
      <c r="G282" s="27" t="s">
        <v>210</v>
      </c>
      <c r="H282" s="27" t="str">
        <f t="shared" si="3"/>
        <v>Male</v>
      </c>
      <c r="I282" s="27" t="s">
        <v>2062</v>
      </c>
      <c r="J282" s="27" t="s">
        <v>2063</v>
      </c>
      <c r="K282" s="27" t="s">
        <v>213</v>
      </c>
      <c r="L282" s="27">
        <v>93010</v>
      </c>
      <c r="M282" s="28" t="str">
        <f t="shared" si="4"/>
        <v>4594 Diane Street, Camarillo, CA, 93010</v>
      </c>
      <c r="N282" s="27" t="s">
        <v>2064</v>
      </c>
      <c r="O282" s="27" t="s">
        <v>2065</v>
      </c>
      <c r="P282" s="28">
        <v>805</v>
      </c>
      <c r="Q282" s="28">
        <v>386</v>
      </c>
      <c r="R282" s="28">
        <v>5275</v>
      </c>
      <c r="S282" s="29" t="s">
        <v>2066</v>
      </c>
      <c r="T282" s="28">
        <v>9558</v>
      </c>
    </row>
    <row r="283" spans="1:20" ht="14.25" customHeight="1">
      <c r="A283" s="27" t="s">
        <v>790</v>
      </c>
      <c r="B283" s="28" t="str">
        <f t="shared" si="0"/>
        <v>Antonio</v>
      </c>
      <c r="C283" s="27" t="s">
        <v>226</v>
      </c>
      <c r="D283" s="27" t="s">
        <v>2067</v>
      </c>
      <c r="E283" s="28" t="str">
        <f t="shared" si="1"/>
        <v>Peters</v>
      </c>
      <c r="F283" s="28" t="str">
        <f t="shared" si="2"/>
        <v>Antonio Peters</v>
      </c>
      <c r="G283" s="27" t="s">
        <v>210</v>
      </c>
      <c r="H283" s="27" t="str">
        <f t="shared" si="3"/>
        <v>Male</v>
      </c>
      <c r="I283" s="27" t="s">
        <v>2068</v>
      </c>
      <c r="J283" s="27" t="s">
        <v>2069</v>
      </c>
      <c r="K283" s="27" t="s">
        <v>1188</v>
      </c>
      <c r="L283" s="27">
        <v>29591</v>
      </c>
      <c r="M283" s="28" t="str">
        <f t="shared" si="4"/>
        <v>3778 Poe Road, Scranton, SC, 29591</v>
      </c>
      <c r="N283" s="27" t="s">
        <v>2070</v>
      </c>
      <c r="O283" s="27" t="s">
        <v>2071</v>
      </c>
      <c r="P283" s="28">
        <v>843</v>
      </c>
      <c r="Q283" s="28">
        <v>210</v>
      </c>
      <c r="R283" s="28">
        <v>7921</v>
      </c>
      <c r="S283" s="29" t="s">
        <v>2072</v>
      </c>
      <c r="T283" s="28">
        <v>1008</v>
      </c>
    </row>
    <row r="284" spans="1:20" ht="14.25" customHeight="1">
      <c r="A284" s="27" t="s">
        <v>1518</v>
      </c>
      <c r="B284" s="28" t="str">
        <f t="shared" si="0"/>
        <v>Joan</v>
      </c>
      <c r="C284" s="27" t="s">
        <v>334</v>
      </c>
      <c r="D284" s="27" t="s">
        <v>2073</v>
      </c>
      <c r="E284" s="28" t="str">
        <f t="shared" si="1"/>
        <v>Tripp</v>
      </c>
      <c r="F284" s="28" t="str">
        <f t="shared" si="2"/>
        <v>Joan Tripp</v>
      </c>
      <c r="G284" s="27" t="s">
        <v>200</v>
      </c>
      <c r="H284" s="27" t="str">
        <f t="shared" si="3"/>
        <v>Female</v>
      </c>
      <c r="I284" s="27" t="s">
        <v>2074</v>
      </c>
      <c r="J284" s="27" t="s">
        <v>2075</v>
      </c>
      <c r="K284" s="27" t="s">
        <v>581</v>
      </c>
      <c r="L284" s="27">
        <v>21122</v>
      </c>
      <c r="M284" s="28" t="str">
        <f t="shared" si="4"/>
        <v>1719 Green Gate Lane, Armiger, MD, 21122</v>
      </c>
      <c r="N284" s="27" t="s">
        <v>2076</v>
      </c>
      <c r="O284" s="27" t="s">
        <v>2077</v>
      </c>
      <c r="P284" s="28">
        <v>443</v>
      </c>
      <c r="Q284" s="28">
        <v>770</v>
      </c>
      <c r="R284" s="28">
        <v>5360</v>
      </c>
      <c r="S284" s="29" t="s">
        <v>2078</v>
      </c>
      <c r="T284" s="28">
        <v>959</v>
      </c>
    </row>
    <row r="285" spans="1:20" ht="14.25" customHeight="1">
      <c r="A285" s="27" t="s">
        <v>234</v>
      </c>
      <c r="B285" s="28" t="str">
        <f t="shared" si="0"/>
        <v>John</v>
      </c>
      <c r="C285" s="27" t="s">
        <v>226</v>
      </c>
      <c r="D285" s="27" t="s">
        <v>2079</v>
      </c>
      <c r="E285" s="28" t="str">
        <f t="shared" si="1"/>
        <v>Bradley</v>
      </c>
      <c r="F285" s="28" t="str">
        <f t="shared" si="2"/>
        <v>John Bradley</v>
      </c>
      <c r="G285" s="27" t="s">
        <v>210</v>
      </c>
      <c r="H285" s="27" t="str">
        <f t="shared" si="3"/>
        <v>Male</v>
      </c>
      <c r="I285" s="27" t="s">
        <v>2080</v>
      </c>
      <c r="J285" s="27" t="s">
        <v>1325</v>
      </c>
      <c r="K285" s="27" t="s">
        <v>272</v>
      </c>
      <c r="L285" s="27">
        <v>10022</v>
      </c>
      <c r="M285" s="28" t="str">
        <f t="shared" si="4"/>
        <v>1779 Rosewood Lane, New York, NY, 10022</v>
      </c>
      <c r="N285" s="27" t="s">
        <v>2081</v>
      </c>
      <c r="O285" s="27" t="s">
        <v>2082</v>
      </c>
      <c r="P285" s="28">
        <v>212</v>
      </c>
      <c r="Q285" s="28">
        <v>906</v>
      </c>
      <c r="R285" s="28">
        <v>5369</v>
      </c>
      <c r="S285" s="29" t="s">
        <v>2083</v>
      </c>
      <c r="T285" s="28">
        <v>5085</v>
      </c>
    </row>
    <row r="286" spans="1:20" ht="14.25" customHeight="1">
      <c r="A286" s="27" t="s">
        <v>380</v>
      </c>
      <c r="B286" s="28" t="str">
        <f t="shared" si="0"/>
        <v>Laura</v>
      </c>
      <c r="C286" s="27" t="s">
        <v>235</v>
      </c>
      <c r="D286" s="27" t="s">
        <v>2084</v>
      </c>
      <c r="E286" s="28" t="str">
        <f t="shared" si="1"/>
        <v>Medlin</v>
      </c>
      <c r="F286" s="28" t="str">
        <f t="shared" si="2"/>
        <v>Laura Medlin</v>
      </c>
      <c r="G286" s="27" t="s">
        <v>200</v>
      </c>
      <c r="H286" s="27" t="str">
        <f t="shared" si="3"/>
        <v>Female</v>
      </c>
      <c r="I286" s="27" t="s">
        <v>2085</v>
      </c>
      <c r="J286" s="27" t="s">
        <v>303</v>
      </c>
      <c r="K286" s="27" t="s">
        <v>304</v>
      </c>
      <c r="L286" s="27">
        <v>2905</v>
      </c>
      <c r="M286" s="28" t="str">
        <f t="shared" si="4"/>
        <v>1772 Myra Street, Providence, RI, 2905</v>
      </c>
      <c r="N286" s="27" t="s">
        <v>2086</v>
      </c>
      <c r="O286" s="27" t="s">
        <v>2087</v>
      </c>
      <c r="P286" s="28">
        <v>401</v>
      </c>
      <c r="Q286" s="28">
        <v>456</v>
      </c>
      <c r="R286" s="28">
        <v>4014</v>
      </c>
      <c r="S286" s="29" t="s">
        <v>2088</v>
      </c>
      <c r="T286" s="28">
        <v>6105</v>
      </c>
    </row>
    <row r="287" spans="1:20" ht="14.25" customHeight="1">
      <c r="A287" s="27" t="s">
        <v>2089</v>
      </c>
      <c r="B287" s="28" t="str">
        <f t="shared" si="0"/>
        <v>Iola</v>
      </c>
      <c r="C287" s="27" t="s">
        <v>309</v>
      </c>
      <c r="D287" s="27" t="s">
        <v>2090</v>
      </c>
      <c r="E287" s="28" t="str">
        <f t="shared" si="1"/>
        <v>Deckard</v>
      </c>
      <c r="F287" s="28" t="str">
        <f t="shared" si="2"/>
        <v>Iola Deckard</v>
      </c>
      <c r="G287" s="27" t="s">
        <v>200</v>
      </c>
      <c r="H287" s="27" t="str">
        <f t="shared" si="3"/>
        <v>Female</v>
      </c>
      <c r="I287" s="27" t="s">
        <v>2091</v>
      </c>
      <c r="J287" s="27" t="s">
        <v>1489</v>
      </c>
      <c r="K287" s="27" t="s">
        <v>213</v>
      </c>
      <c r="L287" s="27">
        <v>91302</v>
      </c>
      <c r="M287" s="28" t="str">
        <f t="shared" si="4"/>
        <v>498 New York Avenue, Calabasas, CA, 91302</v>
      </c>
      <c r="N287" s="27" t="s">
        <v>2092</v>
      </c>
      <c r="O287" s="27" t="s">
        <v>2093</v>
      </c>
      <c r="P287" s="28">
        <v>818</v>
      </c>
      <c r="Q287" s="28">
        <v>224</v>
      </c>
      <c r="R287" s="28">
        <v>9755</v>
      </c>
      <c r="S287" s="29" t="s">
        <v>2094</v>
      </c>
      <c r="T287" s="28">
        <v>1907</v>
      </c>
    </row>
    <row r="288" spans="1:20" ht="14.25" customHeight="1">
      <c r="A288" s="27" t="s">
        <v>2095</v>
      </c>
      <c r="B288" s="28" t="str">
        <f t="shared" si="0"/>
        <v>Charlene</v>
      </c>
      <c r="C288" s="27" t="s">
        <v>198</v>
      </c>
      <c r="D288" s="27" t="s">
        <v>2096</v>
      </c>
      <c r="E288" s="28" t="str">
        <f t="shared" si="1"/>
        <v>Berlanga</v>
      </c>
      <c r="F288" s="28" t="str">
        <f t="shared" si="2"/>
        <v>Charlene Berlanga</v>
      </c>
      <c r="G288" s="27" t="s">
        <v>200</v>
      </c>
      <c r="H288" s="27" t="str">
        <f t="shared" si="3"/>
        <v>Female</v>
      </c>
      <c r="I288" s="27" t="s">
        <v>2097</v>
      </c>
      <c r="J288" s="27" t="s">
        <v>2098</v>
      </c>
      <c r="K288" s="27" t="s">
        <v>581</v>
      </c>
      <c r="L288" s="27">
        <v>21911</v>
      </c>
      <c r="M288" s="28" t="str">
        <f t="shared" si="4"/>
        <v>4602 Marshall Street, Rising Sun, MD, 21911</v>
      </c>
      <c r="N288" s="27" t="s">
        <v>2099</v>
      </c>
      <c r="O288" s="27" t="s">
        <v>2100</v>
      </c>
      <c r="P288" s="28">
        <v>410</v>
      </c>
      <c r="Q288" s="28">
        <v>658</v>
      </c>
      <c r="R288" s="28">
        <v>2837</v>
      </c>
      <c r="S288" s="29" t="s">
        <v>2101</v>
      </c>
      <c r="T288" s="28">
        <v>2892</v>
      </c>
    </row>
    <row r="289" spans="1:20" ht="14.25" customHeight="1">
      <c r="A289" s="27" t="s">
        <v>2102</v>
      </c>
      <c r="B289" s="28" t="str">
        <f t="shared" si="0"/>
        <v>Maxine</v>
      </c>
      <c r="C289" s="27" t="s">
        <v>198</v>
      </c>
      <c r="D289" s="27" t="s">
        <v>1914</v>
      </c>
      <c r="E289" s="28" t="str">
        <f t="shared" si="1"/>
        <v>Thomas</v>
      </c>
      <c r="F289" s="28" t="str">
        <f t="shared" si="2"/>
        <v>Maxine Thomas</v>
      </c>
      <c r="G289" s="27" t="s">
        <v>200</v>
      </c>
      <c r="H289" s="27" t="str">
        <f t="shared" si="3"/>
        <v>Female</v>
      </c>
      <c r="I289" s="27" t="s">
        <v>2103</v>
      </c>
      <c r="J289" s="27" t="s">
        <v>2104</v>
      </c>
      <c r="K289" s="27" t="s">
        <v>213</v>
      </c>
      <c r="L289" s="27">
        <v>95134</v>
      </c>
      <c r="M289" s="28" t="str">
        <f t="shared" si="4"/>
        <v>4183 Park Street, San Jose, CA, 95134</v>
      </c>
      <c r="N289" s="27" t="s">
        <v>2105</v>
      </c>
      <c r="O289" s="27" t="s">
        <v>2106</v>
      </c>
      <c r="P289" s="28">
        <v>925</v>
      </c>
      <c r="Q289" s="28">
        <v>498</v>
      </c>
      <c r="R289" s="28">
        <v>1439</v>
      </c>
      <c r="S289" s="29" t="s">
        <v>2107</v>
      </c>
      <c r="T289" s="28">
        <v>984</v>
      </c>
    </row>
    <row r="290" spans="1:20" ht="14.25" customHeight="1">
      <c r="A290" s="27" t="s">
        <v>526</v>
      </c>
      <c r="B290" s="28" t="str">
        <f t="shared" si="0"/>
        <v>Jennifer</v>
      </c>
      <c r="C290" s="27" t="s">
        <v>511</v>
      </c>
      <c r="D290" s="27" t="s">
        <v>2108</v>
      </c>
      <c r="E290" s="28" t="str">
        <f t="shared" si="1"/>
        <v>Collier</v>
      </c>
      <c r="F290" s="28" t="str">
        <f t="shared" si="2"/>
        <v>Jennifer Collier</v>
      </c>
      <c r="G290" s="27" t="s">
        <v>200</v>
      </c>
      <c r="H290" s="27" t="str">
        <f t="shared" si="3"/>
        <v>Female</v>
      </c>
      <c r="I290" s="27" t="s">
        <v>2109</v>
      </c>
      <c r="J290" s="27" t="s">
        <v>2110</v>
      </c>
      <c r="K290" s="27" t="s">
        <v>609</v>
      </c>
      <c r="L290" s="27">
        <v>80501</v>
      </c>
      <c r="M290" s="28" t="str">
        <f t="shared" si="4"/>
        <v>1312 Scheuvront Drive, Longmont, CO, 80501</v>
      </c>
      <c r="N290" s="27" t="s">
        <v>2111</v>
      </c>
      <c r="O290" s="27" t="s">
        <v>2112</v>
      </c>
      <c r="P290" s="28">
        <v>303</v>
      </c>
      <c r="Q290" s="28">
        <v>485</v>
      </c>
      <c r="R290" s="28">
        <v>3220</v>
      </c>
      <c r="S290" s="29" t="s">
        <v>2113</v>
      </c>
      <c r="T290" s="28">
        <v>1561</v>
      </c>
    </row>
    <row r="291" spans="1:20" ht="14.25" customHeight="1">
      <c r="A291" s="27" t="s">
        <v>2114</v>
      </c>
      <c r="B291" s="28" t="str">
        <f t="shared" si="0"/>
        <v>Harold</v>
      </c>
      <c r="C291" s="27" t="s">
        <v>235</v>
      </c>
      <c r="D291" s="27" t="s">
        <v>2115</v>
      </c>
      <c r="E291" s="28" t="str">
        <f t="shared" si="1"/>
        <v>Shiflett</v>
      </c>
      <c r="F291" s="28" t="str">
        <f t="shared" si="2"/>
        <v>Harold Shiflett</v>
      </c>
      <c r="G291" s="27" t="s">
        <v>210</v>
      </c>
      <c r="H291" s="27" t="str">
        <f t="shared" si="3"/>
        <v>Male</v>
      </c>
      <c r="I291" s="27" t="s">
        <v>2116</v>
      </c>
      <c r="J291" s="27" t="s">
        <v>2117</v>
      </c>
      <c r="K291" s="27" t="s">
        <v>213</v>
      </c>
      <c r="L291" s="27">
        <v>58147</v>
      </c>
      <c r="M291" s="28" t="str">
        <f t="shared" si="4"/>
        <v>3289 Woodland Terrace, Sacramento, CA, 58147</v>
      </c>
      <c r="N291" s="27" t="s">
        <v>2118</v>
      </c>
      <c r="O291" s="27" t="s">
        <v>2119</v>
      </c>
      <c r="P291" s="28">
        <v>916</v>
      </c>
      <c r="Q291" s="28">
        <v>915</v>
      </c>
      <c r="R291" s="28">
        <v>4042</v>
      </c>
      <c r="S291" s="29" t="s">
        <v>2120</v>
      </c>
      <c r="T291" s="28">
        <v>4862</v>
      </c>
    </row>
    <row r="292" spans="1:20" ht="14.25" customHeight="1">
      <c r="A292" s="27" t="s">
        <v>547</v>
      </c>
      <c r="B292" s="28" t="str">
        <f t="shared" si="0"/>
        <v>Melissa</v>
      </c>
      <c r="C292" s="27" t="s">
        <v>949</v>
      </c>
      <c r="D292" s="27" t="s">
        <v>2121</v>
      </c>
      <c r="E292" s="28" t="str">
        <f t="shared" si="1"/>
        <v>Santibanez</v>
      </c>
      <c r="F292" s="28" t="str">
        <f t="shared" si="2"/>
        <v>Melissa Santibanez</v>
      </c>
      <c r="G292" s="27" t="s">
        <v>200</v>
      </c>
      <c r="H292" s="27" t="str">
        <f t="shared" si="3"/>
        <v>Female</v>
      </c>
      <c r="I292" s="27" t="s">
        <v>2122</v>
      </c>
      <c r="J292" s="27" t="s">
        <v>2123</v>
      </c>
      <c r="K292" s="27" t="s">
        <v>213</v>
      </c>
      <c r="L292" s="27">
        <v>94545</v>
      </c>
      <c r="M292" s="28" t="str">
        <f t="shared" si="4"/>
        <v>3215 Wayside Lane, Hayward, CA, 94545</v>
      </c>
      <c r="N292" s="27" t="s">
        <v>2124</v>
      </c>
      <c r="O292" s="27" t="s">
        <v>2125</v>
      </c>
      <c r="P292" s="28">
        <v>510</v>
      </c>
      <c r="Q292" s="28">
        <v>293</v>
      </c>
      <c r="R292" s="28">
        <v>5989</v>
      </c>
      <c r="S292" s="29" t="s">
        <v>2126</v>
      </c>
      <c r="T292" s="28">
        <v>588</v>
      </c>
    </row>
    <row r="293" spans="1:20" ht="14.25" customHeight="1">
      <c r="A293" s="27" t="s">
        <v>2127</v>
      </c>
      <c r="B293" s="28" t="str">
        <f t="shared" si="0"/>
        <v>Salvador</v>
      </c>
      <c r="C293" s="27" t="s">
        <v>309</v>
      </c>
      <c r="D293" s="27" t="s">
        <v>2128</v>
      </c>
      <c r="E293" s="28" t="str">
        <f t="shared" si="1"/>
        <v>Jacquez</v>
      </c>
      <c r="F293" s="28" t="str">
        <f t="shared" si="2"/>
        <v>Salvador Jacquez</v>
      </c>
      <c r="G293" s="27" t="s">
        <v>210</v>
      </c>
      <c r="H293" s="27" t="str">
        <f t="shared" si="3"/>
        <v>Male</v>
      </c>
      <c r="I293" s="27" t="s">
        <v>2129</v>
      </c>
      <c r="J293" s="27" t="s">
        <v>2130</v>
      </c>
      <c r="K293" s="27" t="s">
        <v>203</v>
      </c>
      <c r="L293" s="27">
        <v>62939</v>
      </c>
      <c r="M293" s="28" t="str">
        <f t="shared" si="4"/>
        <v>3383 Holden Street, Goreville, IL, 62939</v>
      </c>
      <c r="N293" s="27" t="s">
        <v>2131</v>
      </c>
      <c r="O293" s="27" t="s">
        <v>2132</v>
      </c>
      <c r="P293" s="28">
        <v>618</v>
      </c>
      <c r="Q293" s="28">
        <v>995</v>
      </c>
      <c r="R293" s="28">
        <v>1946</v>
      </c>
      <c r="S293" s="29" t="s">
        <v>2133</v>
      </c>
      <c r="T293" s="28">
        <v>288</v>
      </c>
    </row>
    <row r="294" spans="1:20" ht="14.25" customHeight="1">
      <c r="A294" s="27" t="s">
        <v>2134</v>
      </c>
      <c r="B294" s="28" t="str">
        <f t="shared" si="0"/>
        <v>Carol</v>
      </c>
      <c r="C294" s="27" t="s">
        <v>334</v>
      </c>
      <c r="D294" s="27" t="s">
        <v>2135</v>
      </c>
      <c r="E294" s="28" t="str">
        <f t="shared" si="1"/>
        <v>Konopka</v>
      </c>
      <c r="F294" s="28" t="str">
        <f t="shared" si="2"/>
        <v>Carol Konopka</v>
      </c>
      <c r="G294" s="27" t="s">
        <v>200</v>
      </c>
      <c r="H294" s="27" t="str">
        <f t="shared" si="3"/>
        <v>Female</v>
      </c>
      <c r="I294" s="27" t="s">
        <v>2136</v>
      </c>
      <c r="J294" s="27" t="s">
        <v>2137</v>
      </c>
      <c r="K294" s="27" t="s">
        <v>537</v>
      </c>
      <c r="L294" s="27">
        <v>85040</v>
      </c>
      <c r="M294" s="28" t="str">
        <f t="shared" si="4"/>
        <v>3168 Dogwood Road, Phoenix, AZ, 85040</v>
      </c>
      <c r="N294" s="27" t="s">
        <v>2138</v>
      </c>
      <c r="O294" s="27" t="s">
        <v>2139</v>
      </c>
      <c r="P294" s="28">
        <v>602</v>
      </c>
      <c r="Q294" s="28">
        <v>658</v>
      </c>
      <c r="R294" s="28">
        <v>8508</v>
      </c>
      <c r="S294" s="29" t="s">
        <v>2140</v>
      </c>
      <c r="T294" s="28">
        <v>3293</v>
      </c>
    </row>
    <row r="295" spans="1:20" ht="14.25" customHeight="1">
      <c r="A295" s="27" t="s">
        <v>2141</v>
      </c>
      <c r="B295" s="28" t="str">
        <f t="shared" si="0"/>
        <v>Juliet</v>
      </c>
      <c r="C295" s="27" t="s">
        <v>235</v>
      </c>
      <c r="D295" s="27" t="s">
        <v>2142</v>
      </c>
      <c r="E295" s="28" t="str">
        <f t="shared" si="1"/>
        <v>Savoie</v>
      </c>
      <c r="F295" s="28" t="str">
        <f t="shared" si="2"/>
        <v>Juliet Savoie</v>
      </c>
      <c r="G295" s="27" t="s">
        <v>200</v>
      </c>
      <c r="H295" s="27" t="str">
        <f t="shared" si="3"/>
        <v>Female</v>
      </c>
      <c r="I295" s="27" t="s">
        <v>2143</v>
      </c>
      <c r="J295" s="27" t="s">
        <v>2144</v>
      </c>
      <c r="K295" s="27" t="s">
        <v>256</v>
      </c>
      <c r="L295" s="27">
        <v>75075</v>
      </c>
      <c r="M295" s="28" t="str">
        <f t="shared" si="4"/>
        <v>2973 Carolyns Circle, Plano, TX, 75075</v>
      </c>
      <c r="N295" s="27" t="s">
        <v>2145</v>
      </c>
      <c r="O295" s="27" t="s">
        <v>2146</v>
      </c>
      <c r="P295" s="28">
        <v>214</v>
      </c>
      <c r="Q295" s="28">
        <v>758</v>
      </c>
      <c r="R295" s="28">
        <v>3149</v>
      </c>
      <c r="S295" s="29" t="s">
        <v>2147</v>
      </c>
      <c r="T295" s="28">
        <v>16</v>
      </c>
    </row>
    <row r="296" spans="1:20" ht="14.25" customHeight="1">
      <c r="A296" s="27" t="s">
        <v>2148</v>
      </c>
      <c r="B296" s="28" t="str">
        <f t="shared" si="0"/>
        <v>Kendra</v>
      </c>
      <c r="C296" s="27" t="s">
        <v>235</v>
      </c>
      <c r="D296" s="27" t="s">
        <v>2149</v>
      </c>
      <c r="E296" s="28" t="str">
        <f t="shared" si="1"/>
        <v>Huff</v>
      </c>
      <c r="F296" s="28" t="str">
        <f t="shared" si="2"/>
        <v>Kendra Huff</v>
      </c>
      <c r="G296" s="27" t="s">
        <v>200</v>
      </c>
      <c r="H296" s="27" t="str">
        <f t="shared" si="3"/>
        <v>Female</v>
      </c>
      <c r="I296" s="27" t="s">
        <v>2150</v>
      </c>
      <c r="J296" s="27" t="s">
        <v>936</v>
      </c>
      <c r="K296" s="27" t="s">
        <v>329</v>
      </c>
      <c r="L296" s="27">
        <v>48219</v>
      </c>
      <c r="M296" s="28" t="str">
        <f t="shared" si="4"/>
        <v>4238 Nash Street, Detroit, MI, 48219</v>
      </c>
      <c r="N296" s="27" t="s">
        <v>2151</v>
      </c>
      <c r="O296" s="27" t="s">
        <v>2152</v>
      </c>
      <c r="P296" s="28">
        <v>313</v>
      </c>
      <c r="Q296" s="28">
        <v>244</v>
      </c>
      <c r="R296" s="28">
        <v>2334</v>
      </c>
      <c r="S296" s="29" t="s">
        <v>2153</v>
      </c>
      <c r="T296" s="28">
        <v>292</v>
      </c>
    </row>
    <row r="297" spans="1:20" ht="14.25" customHeight="1">
      <c r="A297" s="27" t="s">
        <v>2154</v>
      </c>
      <c r="B297" s="28" t="str">
        <f t="shared" si="0"/>
        <v>Betty</v>
      </c>
      <c r="C297" s="27" t="s">
        <v>226</v>
      </c>
      <c r="D297" s="27" t="s">
        <v>2155</v>
      </c>
      <c r="E297" s="28" t="str">
        <f t="shared" si="1"/>
        <v>Morgan</v>
      </c>
      <c r="F297" s="28" t="str">
        <f t="shared" si="2"/>
        <v>Betty Morgan</v>
      </c>
      <c r="G297" s="27" t="s">
        <v>200</v>
      </c>
      <c r="H297" s="27" t="str">
        <f t="shared" si="3"/>
        <v>Female</v>
      </c>
      <c r="I297" s="27" t="s">
        <v>2156</v>
      </c>
      <c r="J297" s="27" t="s">
        <v>2157</v>
      </c>
      <c r="K297" s="27" t="s">
        <v>213</v>
      </c>
      <c r="L297" s="27">
        <v>90660</v>
      </c>
      <c r="M297" s="28" t="str">
        <f t="shared" si="4"/>
        <v>92 Kerry Way, Pico Rivera, CA, 90660</v>
      </c>
      <c r="N297" s="27" t="s">
        <v>2158</v>
      </c>
      <c r="O297" s="27" t="s">
        <v>2159</v>
      </c>
      <c r="P297" s="28">
        <v>562</v>
      </c>
      <c r="Q297" s="28">
        <v>801</v>
      </c>
      <c r="R297" s="28">
        <v>5030</v>
      </c>
      <c r="S297" s="29" t="s">
        <v>2160</v>
      </c>
      <c r="T297" s="28">
        <v>3068</v>
      </c>
    </row>
    <row r="298" spans="1:20" ht="14.25" customHeight="1">
      <c r="A298" s="27" t="s">
        <v>251</v>
      </c>
      <c r="B298" s="28" t="str">
        <f t="shared" si="0"/>
        <v>Diane</v>
      </c>
      <c r="C298" s="27" t="s">
        <v>284</v>
      </c>
      <c r="D298" s="27" t="s">
        <v>2161</v>
      </c>
      <c r="E298" s="28" t="str">
        <f t="shared" si="1"/>
        <v>Carter</v>
      </c>
      <c r="F298" s="28" t="str">
        <f t="shared" si="2"/>
        <v>Diane Carter</v>
      </c>
      <c r="G298" s="27" t="s">
        <v>200</v>
      </c>
      <c r="H298" s="27" t="str">
        <f t="shared" si="3"/>
        <v>Female</v>
      </c>
      <c r="I298" s="27" t="s">
        <v>2162</v>
      </c>
      <c r="J298" s="27" t="s">
        <v>2163</v>
      </c>
      <c r="K298" s="27" t="s">
        <v>772</v>
      </c>
      <c r="L298" s="27">
        <v>40244</v>
      </c>
      <c r="M298" s="28" t="str">
        <f t="shared" si="4"/>
        <v>254 Gregory Lane, Louisville, KY, 40244</v>
      </c>
      <c r="N298" s="27" t="s">
        <v>2164</v>
      </c>
      <c r="O298" s="27" t="s">
        <v>2165</v>
      </c>
      <c r="P298" s="28">
        <v>502</v>
      </c>
      <c r="Q298" s="28">
        <v>482</v>
      </c>
      <c r="R298" s="28">
        <v>5966</v>
      </c>
      <c r="S298" s="29" t="s">
        <v>2166</v>
      </c>
      <c r="T298" s="28">
        <v>5660</v>
      </c>
    </row>
    <row r="299" spans="1:20" ht="14.25" customHeight="1">
      <c r="A299" s="27" t="s">
        <v>2167</v>
      </c>
      <c r="B299" s="28" t="str">
        <f t="shared" si="0"/>
        <v>Johnie</v>
      </c>
      <c r="C299" s="27" t="s">
        <v>465</v>
      </c>
      <c r="D299" s="27" t="s">
        <v>2168</v>
      </c>
      <c r="E299" s="28" t="str">
        <f t="shared" si="1"/>
        <v>Hall</v>
      </c>
      <c r="F299" s="28" t="str">
        <f t="shared" si="2"/>
        <v>Johnie Hall</v>
      </c>
      <c r="G299" s="27" t="s">
        <v>200</v>
      </c>
      <c r="H299" s="27" t="str">
        <f t="shared" si="3"/>
        <v>Female</v>
      </c>
      <c r="I299" s="27" t="s">
        <v>2169</v>
      </c>
      <c r="J299" s="27" t="s">
        <v>1829</v>
      </c>
      <c r="K299" s="27" t="s">
        <v>321</v>
      </c>
      <c r="L299" s="27">
        <v>53202</v>
      </c>
      <c r="M299" s="28" t="str">
        <f t="shared" si="4"/>
        <v>1057 Oakridge Farm Lane, Milwaukee, WI, 53202</v>
      </c>
      <c r="N299" s="27" t="s">
        <v>2170</v>
      </c>
      <c r="O299" s="27" t="s">
        <v>2171</v>
      </c>
      <c r="P299" s="28">
        <v>262</v>
      </c>
      <c r="Q299" s="28">
        <v>298</v>
      </c>
      <c r="R299" s="28">
        <v>6085</v>
      </c>
      <c r="S299" s="29" t="s">
        <v>2172</v>
      </c>
      <c r="T299" s="28">
        <v>8078</v>
      </c>
    </row>
    <row r="300" spans="1:20" ht="14.25" customHeight="1">
      <c r="A300" s="27" t="s">
        <v>716</v>
      </c>
      <c r="B300" s="28" t="str">
        <f t="shared" si="0"/>
        <v>Mildred</v>
      </c>
      <c r="C300" s="27" t="s">
        <v>198</v>
      </c>
      <c r="D300" s="27" t="s">
        <v>2173</v>
      </c>
      <c r="E300" s="28" t="str">
        <f t="shared" si="1"/>
        <v>Stainbrook</v>
      </c>
      <c r="F300" s="28" t="str">
        <f t="shared" si="2"/>
        <v>Mildred Stainbrook</v>
      </c>
      <c r="G300" s="27" t="s">
        <v>200</v>
      </c>
      <c r="H300" s="27" t="str">
        <f t="shared" si="3"/>
        <v>Female</v>
      </c>
      <c r="I300" s="27" t="s">
        <v>2174</v>
      </c>
      <c r="J300" s="27" t="s">
        <v>1936</v>
      </c>
      <c r="K300" s="27" t="s">
        <v>424</v>
      </c>
      <c r="L300" s="27">
        <v>27407</v>
      </c>
      <c r="M300" s="28" t="str">
        <f t="shared" si="4"/>
        <v>3807 Keyser Ridge Road, Greensboro, NC, 27407</v>
      </c>
      <c r="N300" s="27" t="s">
        <v>2175</v>
      </c>
      <c r="O300" s="27" t="s">
        <v>2176</v>
      </c>
      <c r="P300" s="28">
        <v>336</v>
      </c>
      <c r="Q300" s="28">
        <v>458</v>
      </c>
      <c r="R300" s="28">
        <v>1243</v>
      </c>
      <c r="S300" s="29" t="s">
        <v>2177</v>
      </c>
      <c r="T300" s="28">
        <v>57</v>
      </c>
    </row>
    <row r="301" spans="1:20" ht="14.25" customHeight="1">
      <c r="A301" s="27" t="s">
        <v>1002</v>
      </c>
      <c r="B301" s="28" t="str">
        <f t="shared" si="0"/>
        <v>Ronald</v>
      </c>
      <c r="C301" s="27" t="s">
        <v>252</v>
      </c>
      <c r="D301" s="27" t="s">
        <v>2178</v>
      </c>
      <c r="E301" s="28" t="str">
        <f t="shared" si="1"/>
        <v>Rosenblum</v>
      </c>
      <c r="F301" s="28" t="str">
        <f t="shared" si="2"/>
        <v>Ronald Rosenblum</v>
      </c>
      <c r="G301" s="27" t="s">
        <v>210</v>
      </c>
      <c r="H301" s="27" t="str">
        <f t="shared" si="3"/>
        <v>Male</v>
      </c>
      <c r="I301" s="27" t="s">
        <v>2179</v>
      </c>
      <c r="J301" s="27" t="s">
        <v>2180</v>
      </c>
      <c r="K301" s="27" t="s">
        <v>221</v>
      </c>
      <c r="L301" s="27">
        <v>7608</v>
      </c>
      <c r="M301" s="28" t="str">
        <f t="shared" si="4"/>
        <v>1227 Red Bud Lane, Teterboro, NJ, 7608</v>
      </c>
      <c r="N301" s="27" t="s">
        <v>2181</v>
      </c>
      <c r="O301" s="27" t="s">
        <v>2182</v>
      </c>
      <c r="P301" s="28">
        <v>862</v>
      </c>
      <c r="Q301" s="28">
        <v>223</v>
      </c>
      <c r="R301" s="28">
        <v>2412</v>
      </c>
      <c r="S301" s="29" t="s">
        <v>2183</v>
      </c>
      <c r="T301" s="28">
        <v>259</v>
      </c>
    </row>
    <row r="302" spans="1:20" ht="14.25" customHeight="1">
      <c r="A302" s="27" t="s">
        <v>2184</v>
      </c>
      <c r="B302" s="28" t="str">
        <f t="shared" si="0"/>
        <v>Monica</v>
      </c>
      <c r="C302" s="27" t="s">
        <v>235</v>
      </c>
      <c r="D302" s="27" t="s">
        <v>2185</v>
      </c>
      <c r="E302" s="28" t="str">
        <f t="shared" si="1"/>
        <v>Faulkner</v>
      </c>
      <c r="F302" s="28" t="str">
        <f t="shared" si="2"/>
        <v>Monica Faulkner</v>
      </c>
      <c r="G302" s="27" t="s">
        <v>200</v>
      </c>
      <c r="H302" s="27" t="str">
        <f t="shared" si="3"/>
        <v>Female</v>
      </c>
      <c r="I302" s="27" t="s">
        <v>2186</v>
      </c>
      <c r="J302" s="27" t="s">
        <v>580</v>
      </c>
      <c r="K302" s="27" t="s">
        <v>581</v>
      </c>
      <c r="L302" s="27">
        <v>20191</v>
      </c>
      <c r="M302" s="28" t="str">
        <f t="shared" si="4"/>
        <v>4170 Wilmar Farm Road, Reston, MD, 20191</v>
      </c>
      <c r="N302" s="27" t="s">
        <v>2187</v>
      </c>
      <c r="O302" s="27" t="s">
        <v>2188</v>
      </c>
      <c r="P302" s="28">
        <v>240</v>
      </c>
      <c r="Q302" s="28">
        <v>358</v>
      </c>
      <c r="R302" s="28">
        <v>7903</v>
      </c>
      <c r="S302" s="29" t="s">
        <v>2189</v>
      </c>
      <c r="T302" s="28">
        <v>318</v>
      </c>
    </row>
    <row r="303" spans="1:20" ht="14.25" customHeight="1">
      <c r="A303" s="27" t="s">
        <v>2190</v>
      </c>
      <c r="B303" s="28" t="str">
        <f t="shared" si="0"/>
        <v>Clayton</v>
      </c>
      <c r="C303" s="27" t="s">
        <v>465</v>
      </c>
      <c r="D303" s="27" t="s">
        <v>2191</v>
      </c>
      <c r="E303" s="28" t="str">
        <f t="shared" si="1"/>
        <v>Olivo</v>
      </c>
      <c r="F303" s="28" t="str">
        <f t="shared" si="2"/>
        <v>Clayton Olivo</v>
      </c>
      <c r="G303" s="27" t="s">
        <v>210</v>
      </c>
      <c r="H303" s="27" t="str">
        <f t="shared" si="3"/>
        <v>Male</v>
      </c>
      <c r="I303" s="27" t="s">
        <v>2192</v>
      </c>
      <c r="J303" s="27" t="s">
        <v>1881</v>
      </c>
      <c r="K303" s="27" t="s">
        <v>698</v>
      </c>
      <c r="L303" s="27">
        <v>38930</v>
      </c>
      <c r="M303" s="28" t="str">
        <f t="shared" si="4"/>
        <v>2503 Rafe Lane, Greenwood, MS, 38930</v>
      </c>
      <c r="N303" s="27" t="s">
        <v>2193</v>
      </c>
      <c r="O303" s="27" t="s">
        <v>2194</v>
      </c>
      <c r="P303" s="28">
        <v>662</v>
      </c>
      <c r="Q303" s="28">
        <v>654</v>
      </c>
      <c r="R303" s="28">
        <v>6800</v>
      </c>
      <c r="S303" s="29" t="s">
        <v>2195</v>
      </c>
      <c r="T303" s="28">
        <v>485</v>
      </c>
    </row>
    <row r="304" spans="1:20" ht="14.25" customHeight="1">
      <c r="A304" s="27" t="s">
        <v>1766</v>
      </c>
      <c r="B304" s="28" t="str">
        <f t="shared" si="0"/>
        <v>Matthew</v>
      </c>
      <c r="C304" s="27" t="s">
        <v>334</v>
      </c>
      <c r="D304" s="27" t="s">
        <v>2196</v>
      </c>
      <c r="E304" s="28" t="str">
        <f t="shared" si="1"/>
        <v>Olivera</v>
      </c>
      <c r="F304" s="28" t="str">
        <f t="shared" si="2"/>
        <v>Matthew Olivera</v>
      </c>
      <c r="G304" s="27" t="s">
        <v>210</v>
      </c>
      <c r="H304" s="27" t="str">
        <f t="shared" si="3"/>
        <v>Male</v>
      </c>
      <c r="I304" s="27" t="s">
        <v>2197</v>
      </c>
      <c r="J304" s="27" t="s">
        <v>1881</v>
      </c>
      <c r="K304" s="27" t="s">
        <v>698</v>
      </c>
      <c r="L304" s="27">
        <v>38930</v>
      </c>
      <c r="M304" s="28" t="str">
        <f t="shared" si="4"/>
        <v>950 Brownton Road, Greenwood, MS, 38930</v>
      </c>
      <c r="N304" s="27" t="s">
        <v>2198</v>
      </c>
      <c r="O304" s="27" t="s">
        <v>2199</v>
      </c>
      <c r="P304" s="28">
        <v>662</v>
      </c>
      <c r="Q304" s="28">
        <v>364</v>
      </c>
      <c r="R304" s="28">
        <v>1041</v>
      </c>
      <c r="S304" s="29" t="s">
        <v>2200</v>
      </c>
      <c r="T304" s="28">
        <v>4493</v>
      </c>
    </row>
    <row r="305" spans="1:20" ht="14.25" customHeight="1">
      <c r="A305" s="27" t="s">
        <v>2201</v>
      </c>
      <c r="B305" s="28" t="str">
        <f t="shared" si="0"/>
        <v>Juan</v>
      </c>
      <c r="C305" s="27" t="s">
        <v>226</v>
      </c>
      <c r="D305" s="27" t="s">
        <v>2202</v>
      </c>
      <c r="E305" s="28" t="str">
        <f t="shared" si="1"/>
        <v>Parisi</v>
      </c>
      <c r="F305" s="28" t="str">
        <f t="shared" si="2"/>
        <v>Juan Parisi</v>
      </c>
      <c r="G305" s="27" t="s">
        <v>210</v>
      </c>
      <c r="H305" s="27" t="str">
        <f t="shared" si="3"/>
        <v>Male</v>
      </c>
      <c r="I305" s="27" t="s">
        <v>2203</v>
      </c>
      <c r="J305" s="27" t="s">
        <v>2204</v>
      </c>
      <c r="K305" s="27" t="s">
        <v>213</v>
      </c>
      <c r="L305" s="27">
        <v>95688</v>
      </c>
      <c r="M305" s="28" t="str">
        <f t="shared" si="4"/>
        <v>2356 Fairway Drive, Vacaville, CA, 95688</v>
      </c>
      <c r="N305" s="27" t="s">
        <v>2205</v>
      </c>
      <c r="O305" s="27" t="s">
        <v>2206</v>
      </c>
      <c r="P305" s="28">
        <v>707</v>
      </c>
      <c r="Q305" s="28">
        <v>451</v>
      </c>
      <c r="R305" s="28">
        <v>5021</v>
      </c>
      <c r="S305" s="29" t="s">
        <v>2207</v>
      </c>
      <c r="T305" s="28">
        <v>4081</v>
      </c>
    </row>
    <row r="306" spans="1:20" ht="14.25" customHeight="1">
      <c r="A306" s="27" t="s">
        <v>2208</v>
      </c>
      <c r="B306" s="28" t="str">
        <f t="shared" si="0"/>
        <v>Cecilia</v>
      </c>
      <c r="C306" s="27" t="s">
        <v>226</v>
      </c>
      <c r="D306" s="27" t="s">
        <v>2209</v>
      </c>
      <c r="E306" s="28" t="str">
        <f t="shared" si="1"/>
        <v>Watts</v>
      </c>
      <c r="F306" s="28" t="str">
        <f t="shared" si="2"/>
        <v>Cecilia Watts</v>
      </c>
      <c r="G306" s="27" t="s">
        <v>200</v>
      </c>
      <c r="H306" s="27" t="str">
        <f t="shared" si="3"/>
        <v>Female</v>
      </c>
      <c r="I306" s="27" t="s">
        <v>2210</v>
      </c>
      <c r="J306" s="27" t="s">
        <v>2211</v>
      </c>
      <c r="K306" s="27" t="s">
        <v>1065</v>
      </c>
      <c r="L306" s="27">
        <v>67460</v>
      </c>
      <c r="M306" s="28" t="str">
        <f t="shared" si="4"/>
        <v>2349 Roosevelt Road, Mcpherson, KS, 67460</v>
      </c>
      <c r="N306" s="27" t="s">
        <v>2212</v>
      </c>
      <c r="O306" s="27" t="s">
        <v>2213</v>
      </c>
      <c r="P306" s="28">
        <v>620</v>
      </c>
      <c r="Q306" s="28">
        <v>242</v>
      </c>
      <c r="R306" s="28">
        <v>3192</v>
      </c>
      <c r="S306" s="29" t="s">
        <v>2214</v>
      </c>
      <c r="T306" s="28">
        <v>120</v>
      </c>
    </row>
    <row r="307" spans="1:20" ht="14.25" customHeight="1">
      <c r="A307" s="27" t="s">
        <v>2215</v>
      </c>
      <c r="B307" s="28" t="str">
        <f t="shared" si="0"/>
        <v>Dennis</v>
      </c>
      <c r="C307" s="27" t="s">
        <v>226</v>
      </c>
      <c r="D307" s="27" t="s">
        <v>1077</v>
      </c>
      <c r="E307" s="28" t="str">
        <f t="shared" si="1"/>
        <v>Wright</v>
      </c>
      <c r="F307" s="28" t="str">
        <f t="shared" si="2"/>
        <v>Dennis Wright</v>
      </c>
      <c r="G307" s="27" t="s">
        <v>210</v>
      </c>
      <c r="H307" s="27" t="str">
        <f t="shared" si="3"/>
        <v>Male</v>
      </c>
      <c r="I307" s="27" t="s">
        <v>2216</v>
      </c>
      <c r="J307" s="27" t="s">
        <v>1611</v>
      </c>
      <c r="K307" s="27" t="s">
        <v>1612</v>
      </c>
      <c r="L307" s="27">
        <v>20200</v>
      </c>
      <c r="M307" s="28" t="str">
        <f t="shared" si="4"/>
        <v>1280 Massachusetts Avenue, Washington, DC, 20200</v>
      </c>
      <c r="N307" s="27" t="s">
        <v>2217</v>
      </c>
      <c r="O307" s="27" t="s">
        <v>2218</v>
      </c>
      <c r="P307" s="28">
        <v>202</v>
      </c>
      <c r="Q307" s="28">
        <v>812</v>
      </c>
      <c r="R307" s="28">
        <v>2226</v>
      </c>
      <c r="S307" s="29" t="s">
        <v>2219</v>
      </c>
      <c r="T307" s="28">
        <v>457</v>
      </c>
    </row>
    <row r="308" spans="1:20" ht="14.25" customHeight="1">
      <c r="A308" s="27" t="s">
        <v>1091</v>
      </c>
      <c r="B308" s="28" t="str">
        <f t="shared" si="0"/>
        <v>Monte</v>
      </c>
      <c r="C308" s="27" t="s">
        <v>208</v>
      </c>
      <c r="D308" s="27" t="s">
        <v>310</v>
      </c>
      <c r="E308" s="28" t="str">
        <f t="shared" si="1"/>
        <v>Smith</v>
      </c>
      <c r="F308" s="28" t="str">
        <f t="shared" si="2"/>
        <v>Monte Smith</v>
      </c>
      <c r="G308" s="27" t="s">
        <v>210</v>
      </c>
      <c r="H308" s="27" t="str">
        <f t="shared" si="3"/>
        <v>Male</v>
      </c>
      <c r="I308" s="27" t="s">
        <v>2220</v>
      </c>
      <c r="J308" s="27" t="s">
        <v>936</v>
      </c>
      <c r="K308" s="27" t="s">
        <v>329</v>
      </c>
      <c r="L308" s="27">
        <v>48219</v>
      </c>
      <c r="M308" s="28" t="str">
        <f t="shared" si="4"/>
        <v>404 Reppert Coal Road, Detroit, MI, 48219</v>
      </c>
      <c r="N308" s="27" t="s">
        <v>2221</v>
      </c>
      <c r="O308" s="27" t="s">
        <v>2222</v>
      </c>
      <c r="P308" s="28">
        <v>586</v>
      </c>
      <c r="Q308" s="28">
        <v>912</v>
      </c>
      <c r="R308" s="28">
        <v>1768</v>
      </c>
      <c r="S308" s="29" t="s">
        <v>2223</v>
      </c>
      <c r="T308" s="28">
        <v>1706</v>
      </c>
    </row>
    <row r="309" spans="1:20" ht="14.25" customHeight="1">
      <c r="A309" s="27" t="s">
        <v>940</v>
      </c>
      <c r="B309" s="28" t="str">
        <f t="shared" si="0"/>
        <v>Gloria</v>
      </c>
      <c r="C309" s="27" t="s">
        <v>198</v>
      </c>
      <c r="D309" s="27" t="s">
        <v>2224</v>
      </c>
      <c r="E309" s="28" t="str">
        <f t="shared" si="1"/>
        <v>Hurst</v>
      </c>
      <c r="F309" s="28" t="str">
        <f t="shared" si="2"/>
        <v>Gloria Hurst</v>
      </c>
      <c r="G309" s="27" t="s">
        <v>200</v>
      </c>
      <c r="H309" s="27" t="str">
        <f t="shared" si="3"/>
        <v>Female</v>
      </c>
      <c r="I309" s="27" t="s">
        <v>2225</v>
      </c>
      <c r="J309" s="27" t="s">
        <v>2226</v>
      </c>
      <c r="K309" s="27" t="s">
        <v>368</v>
      </c>
      <c r="L309" s="27">
        <v>32801</v>
      </c>
      <c r="M309" s="28" t="str">
        <f t="shared" si="4"/>
        <v>594 Red Hawk Road, Orlando, FL, 32801</v>
      </c>
      <c r="N309" s="27" t="s">
        <v>2227</v>
      </c>
      <c r="O309" s="27" t="s">
        <v>2228</v>
      </c>
      <c r="P309" s="28">
        <v>321</v>
      </c>
      <c r="Q309" s="28">
        <v>204</v>
      </c>
      <c r="R309" s="28">
        <v>3633</v>
      </c>
      <c r="S309" s="29" t="s">
        <v>2229</v>
      </c>
      <c r="T309" s="28">
        <v>3049</v>
      </c>
    </row>
    <row r="310" spans="1:20" ht="14.25" customHeight="1">
      <c r="A310" s="27" t="s">
        <v>1518</v>
      </c>
      <c r="B310" s="28" t="str">
        <f t="shared" si="0"/>
        <v>Joan</v>
      </c>
      <c r="C310" s="27" t="s">
        <v>465</v>
      </c>
      <c r="D310" s="27" t="s">
        <v>599</v>
      </c>
      <c r="E310" s="28" t="str">
        <f t="shared" si="1"/>
        <v>Williams</v>
      </c>
      <c r="F310" s="28" t="str">
        <f t="shared" si="2"/>
        <v>Joan Williams</v>
      </c>
      <c r="G310" s="27" t="s">
        <v>200</v>
      </c>
      <c r="H310" s="27" t="str">
        <f t="shared" si="3"/>
        <v>Female</v>
      </c>
      <c r="I310" s="27" t="s">
        <v>2230</v>
      </c>
      <c r="J310" s="27" t="s">
        <v>360</v>
      </c>
      <c r="K310" s="27" t="s">
        <v>256</v>
      </c>
      <c r="L310" s="27">
        <v>77092</v>
      </c>
      <c r="M310" s="28" t="str">
        <f t="shared" si="4"/>
        <v>1357 Mulberry Street, Houston, TX, 77092</v>
      </c>
      <c r="N310" s="27" t="s">
        <v>2231</v>
      </c>
      <c r="O310" s="27" t="s">
        <v>2232</v>
      </c>
      <c r="P310" s="28">
        <v>936</v>
      </c>
      <c r="Q310" s="28">
        <v>629</v>
      </c>
      <c r="R310" s="28">
        <v>267</v>
      </c>
      <c r="S310" s="29" t="s">
        <v>2233</v>
      </c>
      <c r="T310" s="28">
        <v>8374</v>
      </c>
    </row>
    <row r="311" spans="1:20" ht="14.25" customHeight="1">
      <c r="A311" s="27" t="s">
        <v>2234</v>
      </c>
      <c r="B311" s="28" t="str">
        <f t="shared" si="0"/>
        <v>Alton</v>
      </c>
      <c r="C311" s="27" t="s">
        <v>198</v>
      </c>
      <c r="D311" s="27" t="s">
        <v>830</v>
      </c>
      <c r="E311" s="28" t="str">
        <f t="shared" si="1"/>
        <v>Harris</v>
      </c>
      <c r="F311" s="28" t="str">
        <f t="shared" si="2"/>
        <v>Alton Harris</v>
      </c>
      <c r="G311" s="27" t="s">
        <v>210</v>
      </c>
      <c r="H311" s="27" t="str">
        <f t="shared" si="3"/>
        <v>Male</v>
      </c>
      <c r="I311" s="27" t="s">
        <v>2235</v>
      </c>
      <c r="J311" s="27" t="s">
        <v>360</v>
      </c>
      <c r="K311" s="27" t="s">
        <v>256</v>
      </c>
      <c r="L311" s="27">
        <v>77062</v>
      </c>
      <c r="M311" s="28" t="str">
        <f t="shared" si="4"/>
        <v>2977 Grey Fox Farm Road, Houston, TX, 77062</v>
      </c>
      <c r="N311" s="27" t="s">
        <v>2236</v>
      </c>
      <c r="O311" s="27" t="s">
        <v>2237</v>
      </c>
      <c r="P311" s="28">
        <v>281</v>
      </c>
      <c r="Q311" s="28">
        <v>792</v>
      </c>
      <c r="R311" s="28">
        <v>2244</v>
      </c>
      <c r="S311" s="29" t="s">
        <v>2238</v>
      </c>
      <c r="T311" s="28">
        <v>381</v>
      </c>
    </row>
    <row r="312" spans="1:20" ht="14.25" customHeight="1">
      <c r="A312" s="27" t="s">
        <v>2239</v>
      </c>
      <c r="B312" s="28" t="str">
        <f t="shared" si="0"/>
        <v>Hazel</v>
      </c>
      <c r="C312" s="27" t="s">
        <v>198</v>
      </c>
      <c r="D312" s="27" t="s">
        <v>2240</v>
      </c>
      <c r="E312" s="28" t="str">
        <f t="shared" si="1"/>
        <v>Gleason</v>
      </c>
      <c r="F312" s="28" t="str">
        <f t="shared" si="2"/>
        <v>Hazel Gleason</v>
      </c>
      <c r="G312" s="27" t="s">
        <v>200</v>
      </c>
      <c r="H312" s="27" t="str">
        <f t="shared" si="3"/>
        <v>Female</v>
      </c>
      <c r="I312" s="27" t="s">
        <v>2241</v>
      </c>
      <c r="J312" s="27" t="s">
        <v>2242</v>
      </c>
      <c r="K312" s="27" t="s">
        <v>537</v>
      </c>
      <c r="L312" s="27">
        <v>85282</v>
      </c>
      <c r="M312" s="28" t="str">
        <f t="shared" si="4"/>
        <v>1064 Skips Lane, Tempe, AZ, 85282</v>
      </c>
      <c r="N312" s="27" t="s">
        <v>2243</v>
      </c>
      <c r="O312" s="27" t="s">
        <v>2244</v>
      </c>
      <c r="P312" s="28">
        <v>928</v>
      </c>
      <c r="Q312" s="28">
        <v>550</v>
      </c>
      <c r="R312" s="28">
        <v>9235</v>
      </c>
      <c r="S312" s="29" t="s">
        <v>2245</v>
      </c>
      <c r="T312" s="28">
        <v>2976</v>
      </c>
    </row>
    <row r="313" spans="1:20" ht="14.25" customHeight="1">
      <c r="A313" s="27" t="s">
        <v>1083</v>
      </c>
      <c r="B313" s="28" t="str">
        <f t="shared" si="0"/>
        <v>Christopher</v>
      </c>
      <c r="C313" s="27" t="s">
        <v>300</v>
      </c>
      <c r="D313" s="27" t="s">
        <v>2246</v>
      </c>
      <c r="E313" s="28" t="str">
        <f t="shared" si="1"/>
        <v>Thames</v>
      </c>
      <c r="F313" s="28" t="str">
        <f t="shared" si="2"/>
        <v>Christopher Thames</v>
      </c>
      <c r="G313" s="27" t="s">
        <v>210</v>
      </c>
      <c r="H313" s="27" t="str">
        <f t="shared" si="3"/>
        <v>Male</v>
      </c>
      <c r="I313" s="27" t="s">
        <v>2247</v>
      </c>
      <c r="J313" s="27" t="s">
        <v>1325</v>
      </c>
      <c r="K313" s="27" t="s">
        <v>272</v>
      </c>
      <c r="L313" s="27">
        <v>10007</v>
      </c>
      <c r="M313" s="28" t="str">
        <f t="shared" si="4"/>
        <v>1883 Oakwood Avenue, New York, NY, 10007</v>
      </c>
      <c r="N313" s="27" t="s">
        <v>2248</v>
      </c>
      <c r="O313" s="27" t="s">
        <v>2249</v>
      </c>
      <c r="P313" s="28">
        <v>212</v>
      </c>
      <c r="Q313" s="28">
        <v>646</v>
      </c>
      <c r="R313" s="28">
        <v>6179</v>
      </c>
      <c r="S313" s="29" t="s">
        <v>2250</v>
      </c>
      <c r="T313" s="28">
        <v>393</v>
      </c>
    </row>
    <row r="314" spans="1:20" ht="14.25" customHeight="1">
      <c r="A314" s="27" t="s">
        <v>2251</v>
      </c>
      <c r="B314" s="28" t="str">
        <f t="shared" si="0"/>
        <v>Carl</v>
      </c>
      <c r="C314" s="27" t="s">
        <v>350</v>
      </c>
      <c r="D314" s="27" t="s">
        <v>1185</v>
      </c>
      <c r="E314" s="28" t="str">
        <f t="shared" si="1"/>
        <v>Green</v>
      </c>
      <c r="F314" s="28" t="str">
        <f t="shared" si="2"/>
        <v>Carl Green</v>
      </c>
      <c r="G314" s="27" t="s">
        <v>210</v>
      </c>
      <c r="H314" s="27" t="str">
        <f t="shared" si="3"/>
        <v>Male</v>
      </c>
      <c r="I314" s="27" t="s">
        <v>2252</v>
      </c>
      <c r="J314" s="27" t="s">
        <v>2253</v>
      </c>
      <c r="K314" s="27" t="s">
        <v>272</v>
      </c>
      <c r="L314" s="27">
        <v>10301</v>
      </c>
      <c r="M314" s="28" t="str">
        <f t="shared" si="4"/>
        <v>2972 Longview Avenue, Staten Island, NY, 10301</v>
      </c>
      <c r="N314" s="27" t="s">
        <v>2254</v>
      </c>
      <c r="O314" s="27" t="s">
        <v>2255</v>
      </c>
      <c r="P314" s="28">
        <v>718</v>
      </c>
      <c r="Q314" s="28">
        <v>556</v>
      </c>
      <c r="R314" s="28">
        <v>176</v>
      </c>
      <c r="S314" s="29" t="s">
        <v>2256</v>
      </c>
      <c r="T314" s="28">
        <v>694</v>
      </c>
    </row>
    <row r="315" spans="1:20" ht="14.25" customHeight="1">
      <c r="A315" s="27" t="s">
        <v>2257</v>
      </c>
      <c r="B315" s="28" t="str">
        <f t="shared" si="0"/>
        <v>Hans</v>
      </c>
      <c r="C315" s="27" t="s">
        <v>198</v>
      </c>
      <c r="D315" s="27" t="s">
        <v>2258</v>
      </c>
      <c r="E315" s="28" t="str">
        <f t="shared" si="1"/>
        <v>Mcdaniel</v>
      </c>
      <c r="F315" s="28" t="str">
        <f t="shared" si="2"/>
        <v>Hans Mcdaniel</v>
      </c>
      <c r="G315" s="27" t="s">
        <v>210</v>
      </c>
      <c r="H315" s="27" t="str">
        <f t="shared" si="3"/>
        <v>Male</v>
      </c>
      <c r="I315" s="27" t="s">
        <v>2259</v>
      </c>
      <c r="J315" s="27" t="s">
        <v>2260</v>
      </c>
      <c r="K315" s="27" t="s">
        <v>415</v>
      </c>
      <c r="L315" s="27">
        <v>30339</v>
      </c>
      <c r="M315" s="28" t="str">
        <f t="shared" si="4"/>
        <v>3456 Pine Garden Lane, Atlanta, GA, 30339</v>
      </c>
      <c r="N315" s="27" t="s">
        <v>2261</v>
      </c>
      <c r="O315" s="27" t="s">
        <v>2262</v>
      </c>
      <c r="P315" s="28">
        <v>770</v>
      </c>
      <c r="Q315" s="28">
        <v>681</v>
      </c>
      <c r="R315" s="28">
        <v>2104</v>
      </c>
      <c r="S315" s="29" t="s">
        <v>2263</v>
      </c>
      <c r="T315" s="28">
        <v>9896</v>
      </c>
    </row>
    <row r="316" spans="1:20" ht="14.25" customHeight="1">
      <c r="A316" s="27" t="s">
        <v>2264</v>
      </c>
      <c r="B316" s="28" t="str">
        <f t="shared" si="0"/>
        <v>Ira</v>
      </c>
      <c r="C316" s="27" t="s">
        <v>208</v>
      </c>
      <c r="D316" s="27" t="s">
        <v>2265</v>
      </c>
      <c r="E316" s="28" t="str">
        <f t="shared" si="1"/>
        <v>Kocher</v>
      </c>
      <c r="F316" s="28" t="str">
        <f t="shared" si="2"/>
        <v>Ira Kocher</v>
      </c>
      <c r="G316" s="27" t="s">
        <v>210</v>
      </c>
      <c r="H316" s="27" t="str">
        <f t="shared" si="3"/>
        <v>Male</v>
      </c>
      <c r="I316" s="27" t="s">
        <v>2266</v>
      </c>
      <c r="J316" s="27" t="s">
        <v>2267</v>
      </c>
      <c r="K316" s="27" t="s">
        <v>230</v>
      </c>
      <c r="L316" s="27">
        <v>23324</v>
      </c>
      <c r="M316" s="28" t="str">
        <f t="shared" si="4"/>
        <v>1092 Allison Avenue, Chesapeake, VA, 23324</v>
      </c>
      <c r="N316" s="27" t="s">
        <v>2268</v>
      </c>
      <c r="O316" s="27" t="s">
        <v>2269</v>
      </c>
      <c r="P316" s="28">
        <v>757</v>
      </c>
      <c r="Q316" s="28">
        <v>645</v>
      </c>
      <c r="R316" s="28">
        <v>6505</v>
      </c>
      <c r="S316" s="29" t="s">
        <v>2270</v>
      </c>
      <c r="T316" s="28">
        <v>457</v>
      </c>
    </row>
    <row r="317" spans="1:20" ht="14.25" customHeight="1">
      <c r="A317" s="27" t="s">
        <v>2271</v>
      </c>
      <c r="B317" s="28" t="str">
        <f t="shared" si="0"/>
        <v>Cory</v>
      </c>
      <c r="C317" s="27" t="s">
        <v>252</v>
      </c>
      <c r="D317" s="27" t="s">
        <v>1323</v>
      </c>
      <c r="E317" s="28" t="str">
        <f t="shared" si="1"/>
        <v>Jackson</v>
      </c>
      <c r="F317" s="28" t="str">
        <f t="shared" si="2"/>
        <v>Cory Jackson</v>
      </c>
      <c r="G317" s="27" t="s">
        <v>210</v>
      </c>
      <c r="H317" s="27" t="str">
        <f t="shared" si="3"/>
        <v>Male</v>
      </c>
      <c r="I317" s="27" t="s">
        <v>2272</v>
      </c>
      <c r="J317" s="27" t="s">
        <v>2273</v>
      </c>
      <c r="K317" s="27" t="s">
        <v>368</v>
      </c>
      <c r="L317" s="27">
        <v>32796</v>
      </c>
      <c r="M317" s="28" t="str">
        <f t="shared" si="4"/>
        <v>1241 Terry Lane, Titusville, FL, 32796</v>
      </c>
      <c r="N317" s="27" t="s">
        <v>2274</v>
      </c>
      <c r="O317" s="27" t="s">
        <v>2275</v>
      </c>
      <c r="P317" s="28">
        <v>321</v>
      </c>
      <c r="Q317" s="28">
        <v>268</v>
      </c>
      <c r="R317" s="28">
        <v>3967</v>
      </c>
      <c r="S317" s="29" t="s">
        <v>2276</v>
      </c>
      <c r="T317" s="28">
        <v>5103</v>
      </c>
    </row>
    <row r="318" spans="1:20" ht="14.25" customHeight="1">
      <c r="A318" s="27" t="s">
        <v>2277</v>
      </c>
      <c r="B318" s="28" t="str">
        <f t="shared" si="0"/>
        <v>Cedric</v>
      </c>
      <c r="C318" s="27" t="s">
        <v>309</v>
      </c>
      <c r="D318" s="27" t="s">
        <v>512</v>
      </c>
      <c r="E318" s="28" t="str">
        <f t="shared" si="1"/>
        <v>Barnes</v>
      </c>
      <c r="F318" s="28" t="str">
        <f t="shared" si="2"/>
        <v>Cedric Barnes</v>
      </c>
      <c r="G318" s="27" t="s">
        <v>210</v>
      </c>
      <c r="H318" s="27" t="str">
        <f t="shared" si="3"/>
        <v>Male</v>
      </c>
      <c r="I318" s="27" t="s">
        <v>2278</v>
      </c>
      <c r="J318" s="27" t="s">
        <v>2279</v>
      </c>
      <c r="K318" s="27" t="s">
        <v>537</v>
      </c>
      <c r="L318" s="27">
        <v>86045</v>
      </c>
      <c r="M318" s="28" t="str">
        <f t="shared" si="4"/>
        <v>3377 Clarksburg Park Road, Tuba City, AZ, 86045</v>
      </c>
      <c r="N318" s="27" t="s">
        <v>2280</v>
      </c>
      <c r="O318" s="27" t="s">
        <v>2281</v>
      </c>
      <c r="P318" s="28">
        <v>928</v>
      </c>
      <c r="Q318" s="28">
        <v>283</v>
      </c>
      <c r="R318" s="28">
        <v>4581</v>
      </c>
      <c r="S318" s="29" t="s">
        <v>2282</v>
      </c>
      <c r="T318" s="28">
        <v>3867</v>
      </c>
    </row>
    <row r="319" spans="1:20" ht="14.25" customHeight="1">
      <c r="A319" s="27" t="s">
        <v>510</v>
      </c>
      <c r="B319" s="28" t="str">
        <f t="shared" si="0"/>
        <v>George</v>
      </c>
      <c r="C319" s="27" t="s">
        <v>226</v>
      </c>
      <c r="D319" s="27" t="s">
        <v>2283</v>
      </c>
      <c r="E319" s="28" t="str">
        <f t="shared" si="1"/>
        <v>Evans</v>
      </c>
      <c r="F319" s="28" t="str">
        <f t="shared" si="2"/>
        <v>George Evans</v>
      </c>
      <c r="G319" s="27" t="s">
        <v>210</v>
      </c>
      <c r="H319" s="27" t="str">
        <f t="shared" si="3"/>
        <v>Male</v>
      </c>
      <c r="I319" s="27" t="s">
        <v>2284</v>
      </c>
      <c r="J319" s="27" t="s">
        <v>2285</v>
      </c>
      <c r="K319" s="27" t="s">
        <v>684</v>
      </c>
      <c r="L319" s="27">
        <v>47708</v>
      </c>
      <c r="M319" s="28" t="str">
        <f t="shared" si="4"/>
        <v>3205 Lucy Lane, Evansville, IN, 47708</v>
      </c>
      <c r="N319" s="27" t="s">
        <v>2286</v>
      </c>
      <c r="O319" s="27" t="s">
        <v>2287</v>
      </c>
      <c r="P319" s="28">
        <v>812</v>
      </c>
      <c r="Q319" s="28">
        <v>464</v>
      </c>
      <c r="R319" s="28">
        <v>4262</v>
      </c>
      <c r="S319" s="29" t="s">
        <v>2288</v>
      </c>
      <c r="T319" s="28">
        <v>190</v>
      </c>
    </row>
    <row r="320" spans="1:20" ht="14.25" customHeight="1">
      <c r="A320" s="27" t="s">
        <v>2289</v>
      </c>
      <c r="B320" s="28" t="str">
        <f t="shared" si="0"/>
        <v>Lee</v>
      </c>
      <c r="C320" s="27" t="s">
        <v>350</v>
      </c>
      <c r="D320" s="27" t="s">
        <v>2290</v>
      </c>
      <c r="E320" s="28" t="str">
        <f t="shared" si="1"/>
        <v>Mcmeans</v>
      </c>
      <c r="F320" s="28" t="str">
        <f t="shared" si="2"/>
        <v>Lee Mcmeans</v>
      </c>
      <c r="G320" s="27" t="s">
        <v>210</v>
      </c>
      <c r="H320" s="27" t="str">
        <f t="shared" si="3"/>
        <v>Male</v>
      </c>
      <c r="I320" s="27" t="s">
        <v>2291</v>
      </c>
      <c r="J320" s="27" t="s">
        <v>2010</v>
      </c>
      <c r="K320" s="27" t="s">
        <v>256</v>
      </c>
      <c r="L320" s="27">
        <v>78550</v>
      </c>
      <c r="M320" s="28" t="str">
        <f t="shared" si="4"/>
        <v>4833 Jerome Avenue, Harlingen, TX, 78550</v>
      </c>
      <c r="N320" s="27" t="s">
        <v>2292</v>
      </c>
      <c r="O320" s="27" t="s">
        <v>2293</v>
      </c>
      <c r="P320" s="28">
        <v>956</v>
      </c>
      <c r="Q320" s="28">
        <v>223</v>
      </c>
      <c r="R320" s="28">
        <v>1990</v>
      </c>
      <c r="S320" s="29" t="s">
        <v>2294</v>
      </c>
      <c r="T320" s="28">
        <v>2259</v>
      </c>
    </row>
    <row r="321" spans="1:20" ht="14.25" customHeight="1">
      <c r="A321" s="27" t="s">
        <v>2295</v>
      </c>
      <c r="B321" s="28" t="str">
        <f t="shared" si="0"/>
        <v>Amy</v>
      </c>
      <c r="C321" s="27" t="s">
        <v>208</v>
      </c>
      <c r="D321" s="27" t="s">
        <v>2296</v>
      </c>
      <c r="E321" s="28" t="str">
        <f t="shared" si="1"/>
        <v>Rangel</v>
      </c>
      <c r="F321" s="28" t="str">
        <f t="shared" si="2"/>
        <v>Amy Rangel</v>
      </c>
      <c r="G321" s="27" t="s">
        <v>200</v>
      </c>
      <c r="H321" s="27" t="str">
        <f t="shared" si="3"/>
        <v>Female</v>
      </c>
      <c r="I321" s="27" t="s">
        <v>2297</v>
      </c>
      <c r="J321" s="27" t="s">
        <v>1325</v>
      </c>
      <c r="K321" s="27" t="s">
        <v>272</v>
      </c>
      <c r="L321" s="27">
        <v>10007</v>
      </c>
      <c r="M321" s="28" t="str">
        <f t="shared" si="4"/>
        <v>950 Pallet Street, New York, NY, 10007</v>
      </c>
      <c r="N321" s="27" t="s">
        <v>2298</v>
      </c>
      <c r="O321" s="27" t="s">
        <v>2299</v>
      </c>
      <c r="P321" s="28">
        <v>914</v>
      </c>
      <c r="Q321" s="28">
        <v>325</v>
      </c>
      <c r="R321" s="28">
        <v>9356</v>
      </c>
      <c r="S321" s="29" t="s">
        <v>2300</v>
      </c>
      <c r="T321" s="28">
        <v>3249</v>
      </c>
    </row>
    <row r="322" spans="1:20" ht="14.25" customHeight="1">
      <c r="A322" s="27" t="s">
        <v>2301</v>
      </c>
      <c r="B322" s="28" t="str">
        <f t="shared" si="0"/>
        <v>Naomi</v>
      </c>
      <c r="C322" s="27" t="s">
        <v>300</v>
      </c>
      <c r="D322" s="27" t="s">
        <v>2302</v>
      </c>
      <c r="E322" s="28" t="str">
        <f t="shared" si="1"/>
        <v>Marshall</v>
      </c>
      <c r="F322" s="28" t="str">
        <f t="shared" si="2"/>
        <v>Naomi Marshall</v>
      </c>
      <c r="G322" s="27" t="s">
        <v>200</v>
      </c>
      <c r="H322" s="27" t="str">
        <f t="shared" si="3"/>
        <v>Female</v>
      </c>
      <c r="I322" s="27" t="s">
        <v>2303</v>
      </c>
      <c r="J322" s="27" t="s">
        <v>295</v>
      </c>
      <c r="K322" s="27" t="s">
        <v>256</v>
      </c>
      <c r="L322" s="27">
        <v>75234</v>
      </c>
      <c r="M322" s="28" t="str">
        <f t="shared" si="4"/>
        <v>3957 Sycamore Circle, Dallas, TX, 75234</v>
      </c>
      <c r="N322" s="27" t="s">
        <v>2304</v>
      </c>
      <c r="O322" s="27" t="s">
        <v>2305</v>
      </c>
      <c r="P322" s="28">
        <v>682</v>
      </c>
      <c r="Q322" s="28">
        <v>558</v>
      </c>
      <c r="R322" s="28">
        <v>129</v>
      </c>
      <c r="S322" s="29" t="s">
        <v>2306</v>
      </c>
      <c r="T322" s="28">
        <v>4460</v>
      </c>
    </row>
    <row r="323" spans="1:20" ht="14.25" customHeight="1">
      <c r="A323" s="27" t="s">
        <v>2307</v>
      </c>
      <c r="B323" s="28" t="str">
        <f t="shared" si="0"/>
        <v>Nancy</v>
      </c>
      <c r="C323" s="27" t="s">
        <v>252</v>
      </c>
      <c r="D323" s="27" t="s">
        <v>2308</v>
      </c>
      <c r="E323" s="28" t="str">
        <f t="shared" si="1"/>
        <v>Morris</v>
      </c>
      <c r="F323" s="28" t="str">
        <f t="shared" si="2"/>
        <v>Nancy Morris</v>
      </c>
      <c r="G323" s="27" t="s">
        <v>200</v>
      </c>
      <c r="H323" s="27" t="str">
        <f t="shared" si="3"/>
        <v>Female</v>
      </c>
      <c r="I323" s="27" t="s">
        <v>2309</v>
      </c>
      <c r="J323" s="27" t="s">
        <v>2310</v>
      </c>
      <c r="K323" s="27" t="s">
        <v>203</v>
      </c>
      <c r="L323" s="27">
        <v>61109</v>
      </c>
      <c r="M323" s="28" t="str">
        <f t="shared" si="4"/>
        <v>2631 Emeral Dreams Drive, Rockford, IL, 61109</v>
      </c>
      <c r="N323" s="27" t="s">
        <v>2311</v>
      </c>
      <c r="O323" s="27" t="s">
        <v>2312</v>
      </c>
      <c r="P323" s="28">
        <v>815</v>
      </c>
      <c r="Q323" s="28">
        <v>242</v>
      </c>
      <c r="R323" s="28">
        <v>9508</v>
      </c>
      <c r="S323" s="29" t="s">
        <v>2313</v>
      </c>
      <c r="T323" s="28">
        <v>619</v>
      </c>
    </row>
    <row r="324" spans="1:20" ht="14.25" customHeight="1">
      <c r="A324" s="27" t="s">
        <v>1873</v>
      </c>
      <c r="B324" s="28" t="str">
        <f t="shared" si="0"/>
        <v>Randy</v>
      </c>
      <c r="C324" s="27" t="s">
        <v>292</v>
      </c>
      <c r="D324" s="27" t="s">
        <v>2314</v>
      </c>
      <c r="E324" s="28" t="str">
        <f t="shared" si="1"/>
        <v>Kuhlman</v>
      </c>
      <c r="F324" s="28" t="str">
        <f t="shared" si="2"/>
        <v>Randy Kuhlman</v>
      </c>
      <c r="G324" s="27" t="s">
        <v>210</v>
      </c>
      <c r="H324" s="27" t="str">
        <f t="shared" si="3"/>
        <v>Male</v>
      </c>
      <c r="I324" s="27" t="s">
        <v>2315</v>
      </c>
      <c r="J324" s="27" t="s">
        <v>2316</v>
      </c>
      <c r="K324" s="27" t="s">
        <v>213</v>
      </c>
      <c r="L324" s="27">
        <v>91744</v>
      </c>
      <c r="M324" s="28" t="str">
        <f t="shared" si="4"/>
        <v>4493 Middleville Road, La Puente, CA, 91744</v>
      </c>
      <c r="N324" s="27" t="s">
        <v>2317</v>
      </c>
      <c r="O324" s="27" t="s">
        <v>2318</v>
      </c>
      <c r="P324" s="28">
        <v>626</v>
      </c>
      <c r="Q324" s="28">
        <v>369</v>
      </c>
      <c r="R324" s="28">
        <v>7009</v>
      </c>
      <c r="S324" s="29" t="s">
        <v>2319</v>
      </c>
      <c r="T324" s="28">
        <v>80</v>
      </c>
    </row>
    <row r="325" spans="1:20" ht="14.25" customHeight="1">
      <c r="A325" s="27" t="s">
        <v>2001</v>
      </c>
      <c r="B325" s="28" t="str">
        <f t="shared" si="0"/>
        <v>Helen</v>
      </c>
      <c r="C325" s="27" t="s">
        <v>235</v>
      </c>
      <c r="D325" s="27" t="s">
        <v>2320</v>
      </c>
      <c r="E325" s="28" t="str">
        <f t="shared" si="1"/>
        <v>Roush</v>
      </c>
      <c r="F325" s="28" t="str">
        <f t="shared" si="2"/>
        <v>Helen Roush</v>
      </c>
      <c r="G325" s="27" t="s">
        <v>200</v>
      </c>
      <c r="H325" s="27" t="str">
        <f t="shared" si="3"/>
        <v>Female</v>
      </c>
      <c r="I325" s="27" t="s">
        <v>2321</v>
      </c>
      <c r="J325" s="27" t="s">
        <v>2322</v>
      </c>
      <c r="K325" s="27" t="s">
        <v>650</v>
      </c>
      <c r="L325" s="27">
        <v>73501</v>
      </c>
      <c r="M325" s="28" t="str">
        <f t="shared" si="4"/>
        <v>2639 Dovetail Estates, Lawton, OK, 73501</v>
      </c>
      <c r="N325" s="27" t="s">
        <v>2323</v>
      </c>
      <c r="O325" s="27" t="s">
        <v>2324</v>
      </c>
      <c r="P325" s="28">
        <v>580</v>
      </c>
      <c r="Q325" s="28">
        <v>917</v>
      </c>
      <c r="R325" s="28">
        <v>4142</v>
      </c>
      <c r="S325" s="29" t="s">
        <v>2325</v>
      </c>
      <c r="T325" s="28">
        <v>806</v>
      </c>
    </row>
    <row r="326" spans="1:20" ht="14.25" customHeight="1">
      <c r="A326" s="27" t="s">
        <v>822</v>
      </c>
      <c r="B326" s="28" t="str">
        <f t="shared" si="0"/>
        <v>Michael</v>
      </c>
      <c r="C326" s="27" t="s">
        <v>198</v>
      </c>
      <c r="D326" s="27" t="s">
        <v>2326</v>
      </c>
      <c r="E326" s="28" t="str">
        <f t="shared" si="1"/>
        <v>Wood</v>
      </c>
      <c r="F326" s="28" t="str">
        <f t="shared" si="2"/>
        <v>Michael Wood</v>
      </c>
      <c r="G326" s="27" t="s">
        <v>210</v>
      </c>
      <c r="H326" s="27" t="str">
        <f t="shared" si="3"/>
        <v>Male</v>
      </c>
      <c r="I326" s="27" t="s">
        <v>2327</v>
      </c>
      <c r="J326" s="27" t="s">
        <v>2328</v>
      </c>
      <c r="K326" s="27" t="s">
        <v>203</v>
      </c>
      <c r="L326" s="27">
        <v>60126</v>
      </c>
      <c r="M326" s="28" t="str">
        <f t="shared" si="4"/>
        <v>2776 Patterson Fork Road, Elmhurst, IL, 60126</v>
      </c>
      <c r="N326" s="27" t="s">
        <v>2329</v>
      </c>
      <c r="O326" s="27" t="s">
        <v>2330</v>
      </c>
      <c r="P326" s="28">
        <v>312</v>
      </c>
      <c r="Q326" s="28">
        <v>656</v>
      </c>
      <c r="R326" s="28">
        <v>9476</v>
      </c>
      <c r="S326" s="29" t="s">
        <v>2331</v>
      </c>
      <c r="T326" s="28">
        <v>299</v>
      </c>
    </row>
    <row r="327" spans="1:20" ht="14.25" customHeight="1">
      <c r="A327" s="27" t="s">
        <v>526</v>
      </c>
      <c r="B327" s="28" t="str">
        <f t="shared" si="0"/>
        <v>Jennifer</v>
      </c>
      <c r="C327" s="27" t="s">
        <v>226</v>
      </c>
      <c r="D327" s="27" t="s">
        <v>2332</v>
      </c>
      <c r="E327" s="28" t="str">
        <f t="shared" si="1"/>
        <v>Jahnke</v>
      </c>
      <c r="F327" s="28" t="str">
        <f t="shared" si="2"/>
        <v>Jennifer Jahnke</v>
      </c>
      <c r="G327" s="27" t="s">
        <v>200</v>
      </c>
      <c r="H327" s="27" t="str">
        <f t="shared" si="3"/>
        <v>Female</v>
      </c>
      <c r="I327" s="27" t="s">
        <v>2333</v>
      </c>
      <c r="J327" s="27" t="s">
        <v>2334</v>
      </c>
      <c r="K327" s="27" t="s">
        <v>609</v>
      </c>
      <c r="L327" s="27">
        <v>80111</v>
      </c>
      <c r="M327" s="28" t="str">
        <f t="shared" si="4"/>
        <v>1608 Davis Lane, Greenwood Village, CO, 80111</v>
      </c>
      <c r="N327" s="27" t="s">
        <v>2335</v>
      </c>
      <c r="O327" s="27" t="s">
        <v>2336</v>
      </c>
      <c r="P327" s="28">
        <v>720</v>
      </c>
      <c r="Q327" s="28">
        <v>330</v>
      </c>
      <c r="R327" s="28">
        <v>2061</v>
      </c>
      <c r="S327" s="29" t="s">
        <v>2337</v>
      </c>
      <c r="T327" s="28">
        <v>7080</v>
      </c>
    </row>
    <row r="328" spans="1:20" ht="14.25" customHeight="1">
      <c r="A328" s="27" t="s">
        <v>2338</v>
      </c>
      <c r="B328" s="28" t="str">
        <f t="shared" si="0"/>
        <v>Terri</v>
      </c>
      <c r="C328" s="27" t="s">
        <v>511</v>
      </c>
      <c r="D328" s="27" t="s">
        <v>2339</v>
      </c>
      <c r="E328" s="28" t="str">
        <f t="shared" si="1"/>
        <v>Ogrady</v>
      </c>
      <c r="F328" s="28" t="str">
        <f t="shared" si="2"/>
        <v>Terri Ogrady</v>
      </c>
      <c r="G328" s="27" t="s">
        <v>200</v>
      </c>
      <c r="H328" s="27" t="str">
        <f t="shared" si="3"/>
        <v>Female</v>
      </c>
      <c r="I328" s="27" t="s">
        <v>2340</v>
      </c>
      <c r="J328" s="27" t="s">
        <v>2341</v>
      </c>
      <c r="K328" s="27" t="s">
        <v>1800</v>
      </c>
      <c r="L328" s="27">
        <v>6103</v>
      </c>
      <c r="M328" s="28" t="str">
        <f t="shared" si="4"/>
        <v>2966 Meadow View Drive, Hartford, CT, 6103</v>
      </c>
      <c r="N328" s="27" t="s">
        <v>2342</v>
      </c>
      <c r="O328" s="27" t="s">
        <v>2343</v>
      </c>
      <c r="P328" s="28">
        <v>860</v>
      </c>
      <c r="Q328" s="28">
        <v>473</v>
      </c>
      <c r="R328" s="28">
        <v>6593</v>
      </c>
      <c r="S328" s="29" t="s">
        <v>2344</v>
      </c>
      <c r="T328" s="28">
        <v>8630</v>
      </c>
    </row>
    <row r="329" spans="1:20" ht="14.25" customHeight="1">
      <c r="A329" s="27" t="s">
        <v>989</v>
      </c>
      <c r="B329" s="28" t="str">
        <f t="shared" si="0"/>
        <v>Charles</v>
      </c>
      <c r="C329" s="27" t="s">
        <v>511</v>
      </c>
      <c r="D329" s="27" t="s">
        <v>2345</v>
      </c>
      <c r="E329" s="28" t="str">
        <f t="shared" si="1"/>
        <v>Talbot</v>
      </c>
      <c r="F329" s="28" t="str">
        <f t="shared" si="2"/>
        <v>Charles Talbot</v>
      </c>
      <c r="G329" s="27" t="s">
        <v>210</v>
      </c>
      <c r="H329" s="27" t="str">
        <f t="shared" si="3"/>
        <v>Male</v>
      </c>
      <c r="I329" s="27" t="s">
        <v>2346</v>
      </c>
      <c r="J329" s="27" t="s">
        <v>2347</v>
      </c>
      <c r="K329" s="27" t="s">
        <v>684</v>
      </c>
      <c r="L329" s="27">
        <v>46204</v>
      </c>
      <c r="M329" s="28" t="str">
        <f t="shared" si="4"/>
        <v>414 Crestview Manor, Indianapolis, IN, 46204</v>
      </c>
      <c r="N329" s="27" t="s">
        <v>2348</v>
      </c>
      <c r="O329" s="27" t="s">
        <v>2349</v>
      </c>
      <c r="P329" s="28">
        <v>317</v>
      </c>
      <c r="Q329" s="28">
        <v>239</v>
      </c>
      <c r="R329" s="28">
        <v>9935</v>
      </c>
      <c r="S329" s="29" t="s">
        <v>2350</v>
      </c>
      <c r="T329" s="28">
        <v>508</v>
      </c>
    </row>
    <row r="330" spans="1:20" ht="14.25" customHeight="1">
      <c r="A330" s="27" t="s">
        <v>776</v>
      </c>
      <c r="B330" s="28" t="str">
        <f t="shared" si="0"/>
        <v>Christine</v>
      </c>
      <c r="C330" s="27" t="s">
        <v>429</v>
      </c>
      <c r="D330" s="27" t="s">
        <v>2351</v>
      </c>
      <c r="E330" s="28" t="str">
        <f t="shared" si="1"/>
        <v>Kelliher</v>
      </c>
      <c r="F330" s="28" t="str">
        <f t="shared" si="2"/>
        <v>Christine Kelliher</v>
      </c>
      <c r="G330" s="27" t="s">
        <v>200</v>
      </c>
      <c r="H330" s="27" t="str">
        <f t="shared" si="3"/>
        <v>Female</v>
      </c>
      <c r="I330" s="27" t="s">
        <v>2352</v>
      </c>
      <c r="J330" s="27" t="s">
        <v>2353</v>
      </c>
      <c r="K330" s="27" t="s">
        <v>221</v>
      </c>
      <c r="L330" s="27">
        <v>7662</v>
      </c>
      <c r="M330" s="28" t="str">
        <f t="shared" si="4"/>
        <v>4185 Spring Haven Trail, Rochelle Park, NJ, 7662</v>
      </c>
      <c r="N330" s="27" t="s">
        <v>2354</v>
      </c>
      <c r="O330" s="27" t="s">
        <v>2355</v>
      </c>
      <c r="P330" s="28">
        <v>973</v>
      </c>
      <c r="Q330" s="28">
        <v>727</v>
      </c>
      <c r="R330" s="28">
        <v>8214</v>
      </c>
      <c r="S330" s="29" t="s">
        <v>2356</v>
      </c>
      <c r="T330" s="28">
        <v>7729</v>
      </c>
    </row>
    <row r="331" spans="1:20" ht="14.25" customHeight="1">
      <c r="A331" s="27" t="s">
        <v>2357</v>
      </c>
      <c r="B331" s="28" t="str">
        <f t="shared" si="0"/>
        <v>Sebastian</v>
      </c>
      <c r="C331" s="27" t="s">
        <v>309</v>
      </c>
      <c r="D331" s="27" t="s">
        <v>405</v>
      </c>
      <c r="E331" s="28" t="str">
        <f t="shared" si="1"/>
        <v>Taylor</v>
      </c>
      <c r="F331" s="28" t="str">
        <f t="shared" si="2"/>
        <v>Sebastian Taylor</v>
      </c>
      <c r="G331" s="27" t="s">
        <v>210</v>
      </c>
      <c r="H331" s="27" t="str">
        <f t="shared" si="3"/>
        <v>Male</v>
      </c>
      <c r="I331" s="27" t="s">
        <v>2358</v>
      </c>
      <c r="J331" s="27" t="s">
        <v>353</v>
      </c>
      <c r="K331" s="27" t="s">
        <v>203</v>
      </c>
      <c r="L331" s="27">
        <v>60623</v>
      </c>
      <c r="M331" s="28" t="str">
        <f t="shared" si="4"/>
        <v>4546 Cherry Camp Road, Chicago, IL, 60623</v>
      </c>
      <c r="N331" s="27" t="s">
        <v>2359</v>
      </c>
      <c r="O331" s="27" t="s">
        <v>2360</v>
      </c>
      <c r="P331" s="28">
        <v>773</v>
      </c>
      <c r="Q331" s="28">
        <v>521</v>
      </c>
      <c r="R331" s="28">
        <v>9276</v>
      </c>
      <c r="S331" s="29" t="s">
        <v>2361</v>
      </c>
      <c r="T331" s="28">
        <v>5708</v>
      </c>
    </row>
    <row r="332" spans="1:20" ht="14.25" customHeight="1">
      <c r="A332" s="27" t="s">
        <v>2362</v>
      </c>
      <c r="B332" s="28" t="str">
        <f t="shared" si="0"/>
        <v>Susie</v>
      </c>
      <c r="C332" s="27" t="s">
        <v>235</v>
      </c>
      <c r="D332" s="27" t="s">
        <v>2363</v>
      </c>
      <c r="E332" s="28" t="str">
        <f t="shared" si="1"/>
        <v>Robbins</v>
      </c>
      <c r="F332" s="28" t="str">
        <f t="shared" si="2"/>
        <v>Susie Robbins</v>
      </c>
      <c r="G332" s="27" t="s">
        <v>200</v>
      </c>
      <c r="H332" s="27" t="str">
        <f t="shared" si="3"/>
        <v>Female</v>
      </c>
      <c r="I332" s="27" t="s">
        <v>2364</v>
      </c>
      <c r="J332" s="27" t="s">
        <v>2365</v>
      </c>
      <c r="K332" s="27" t="s">
        <v>247</v>
      </c>
      <c r="L332" s="27">
        <v>97401</v>
      </c>
      <c r="M332" s="28" t="str">
        <f t="shared" si="4"/>
        <v>299 Brooklyn Street, Eugene, OR, 97401</v>
      </c>
      <c r="N332" s="27" t="s">
        <v>2366</v>
      </c>
      <c r="O332" s="27" t="s">
        <v>2367</v>
      </c>
      <c r="P332" s="28">
        <v>541</v>
      </c>
      <c r="Q332" s="28">
        <v>236</v>
      </c>
      <c r="R332" s="28">
        <v>2926</v>
      </c>
      <c r="S332" s="29" t="s">
        <v>2368</v>
      </c>
      <c r="T332" s="28">
        <v>9371</v>
      </c>
    </row>
    <row r="333" spans="1:20" ht="14.25" customHeight="1">
      <c r="A333" s="27" t="s">
        <v>783</v>
      </c>
      <c r="B333" s="28" t="str">
        <f t="shared" si="0"/>
        <v>Mary</v>
      </c>
      <c r="C333" s="27" t="s">
        <v>284</v>
      </c>
      <c r="D333" s="27" t="s">
        <v>2369</v>
      </c>
      <c r="E333" s="28" t="str">
        <f t="shared" si="1"/>
        <v>Champagne</v>
      </c>
      <c r="F333" s="28" t="str">
        <f t="shared" si="2"/>
        <v>Mary Champagne</v>
      </c>
      <c r="G333" s="27" t="s">
        <v>200</v>
      </c>
      <c r="H333" s="27" t="str">
        <f t="shared" si="3"/>
        <v>Female</v>
      </c>
      <c r="I333" s="27" t="s">
        <v>2370</v>
      </c>
      <c r="J333" s="27" t="s">
        <v>2021</v>
      </c>
      <c r="K333" s="27" t="s">
        <v>706</v>
      </c>
      <c r="L333" s="27">
        <v>19403</v>
      </c>
      <c r="M333" s="28" t="str">
        <f t="shared" si="4"/>
        <v>1875 Renwick Drive, Norristown, PA, 19403</v>
      </c>
      <c r="N333" s="27" t="s">
        <v>2371</v>
      </c>
      <c r="O333" s="27" t="s">
        <v>2372</v>
      </c>
      <c r="P333" s="28">
        <v>484</v>
      </c>
      <c r="Q333" s="28">
        <v>253</v>
      </c>
      <c r="R333" s="28">
        <v>4348</v>
      </c>
      <c r="S333" s="29" t="s">
        <v>2373</v>
      </c>
      <c r="T333" s="28">
        <v>69</v>
      </c>
    </row>
    <row r="334" spans="1:20" ht="14.25" customHeight="1">
      <c r="A334" s="27" t="s">
        <v>895</v>
      </c>
      <c r="B334" s="28" t="str">
        <f t="shared" si="0"/>
        <v>Katrina</v>
      </c>
      <c r="C334" s="27" t="s">
        <v>350</v>
      </c>
      <c r="D334" s="27" t="s">
        <v>1550</v>
      </c>
      <c r="E334" s="28" t="str">
        <f t="shared" si="1"/>
        <v>Ramirez</v>
      </c>
      <c r="F334" s="28" t="str">
        <f t="shared" si="2"/>
        <v>Katrina Ramirez</v>
      </c>
      <c r="G334" s="27" t="s">
        <v>200</v>
      </c>
      <c r="H334" s="27" t="str">
        <f t="shared" si="3"/>
        <v>Female</v>
      </c>
      <c r="I334" s="27" t="s">
        <v>2374</v>
      </c>
      <c r="J334" s="27" t="s">
        <v>1377</v>
      </c>
      <c r="K334" s="27" t="s">
        <v>368</v>
      </c>
      <c r="L334" s="27">
        <v>33176</v>
      </c>
      <c r="M334" s="28" t="str">
        <f t="shared" si="4"/>
        <v>703 Tyler Avenue, Miami, FL, 33176</v>
      </c>
      <c r="N334" s="27" t="s">
        <v>2375</v>
      </c>
      <c r="O334" s="27" t="s">
        <v>2376</v>
      </c>
      <c r="P334" s="28">
        <v>305</v>
      </c>
      <c r="Q334" s="28">
        <v>275</v>
      </c>
      <c r="R334" s="28">
        <v>4698</v>
      </c>
      <c r="S334" s="29" t="s">
        <v>2377</v>
      </c>
      <c r="T334" s="28">
        <v>492</v>
      </c>
    </row>
    <row r="335" spans="1:20" ht="14.25" customHeight="1">
      <c r="A335" s="27" t="s">
        <v>2378</v>
      </c>
      <c r="B335" s="28" t="str">
        <f t="shared" si="0"/>
        <v>Rebecca</v>
      </c>
      <c r="C335" s="27" t="s">
        <v>226</v>
      </c>
      <c r="D335" s="27" t="s">
        <v>2379</v>
      </c>
      <c r="E335" s="28" t="str">
        <f t="shared" si="1"/>
        <v>Lamoreaux</v>
      </c>
      <c r="F335" s="28" t="str">
        <f t="shared" si="2"/>
        <v>Rebecca Lamoreaux</v>
      </c>
      <c r="G335" s="27" t="s">
        <v>200</v>
      </c>
      <c r="H335" s="27" t="str">
        <f t="shared" si="3"/>
        <v>Female</v>
      </c>
      <c r="I335" s="27" t="s">
        <v>2380</v>
      </c>
      <c r="J335" s="27" t="s">
        <v>2381</v>
      </c>
      <c r="K335" s="27" t="s">
        <v>515</v>
      </c>
      <c r="L335" s="27">
        <v>63141</v>
      </c>
      <c r="M335" s="28" t="str">
        <f t="shared" si="4"/>
        <v>249 Court Street, Maryland Heights, MO, 63141</v>
      </c>
      <c r="N335" s="27" t="s">
        <v>2382</v>
      </c>
      <c r="O335" s="27" t="s">
        <v>2383</v>
      </c>
      <c r="P335" s="28">
        <v>636</v>
      </c>
      <c r="Q335" s="28">
        <v>794</v>
      </c>
      <c r="R335" s="28">
        <v>2632</v>
      </c>
      <c r="S335" s="29" t="s">
        <v>2384</v>
      </c>
      <c r="T335" s="28">
        <v>156</v>
      </c>
    </row>
    <row r="336" spans="1:20" ht="14.25" customHeight="1">
      <c r="A336" s="27" t="s">
        <v>2385</v>
      </c>
      <c r="B336" s="28" t="str">
        <f t="shared" si="0"/>
        <v>Glenn</v>
      </c>
      <c r="C336" s="27" t="s">
        <v>511</v>
      </c>
      <c r="D336" s="27" t="s">
        <v>2386</v>
      </c>
      <c r="E336" s="28" t="str">
        <f t="shared" si="1"/>
        <v>Sharp</v>
      </c>
      <c r="F336" s="28" t="str">
        <f t="shared" si="2"/>
        <v>Glenn Sharp</v>
      </c>
      <c r="G336" s="27" t="s">
        <v>210</v>
      </c>
      <c r="H336" s="27" t="str">
        <f t="shared" si="3"/>
        <v>Male</v>
      </c>
      <c r="I336" s="27" t="s">
        <v>2387</v>
      </c>
      <c r="J336" s="27" t="s">
        <v>2388</v>
      </c>
      <c r="K336" s="27" t="s">
        <v>376</v>
      </c>
      <c r="L336" s="27">
        <v>68801</v>
      </c>
      <c r="M336" s="28" t="str">
        <f t="shared" si="4"/>
        <v>825 North Avenue, Grand Island, NE, 68801</v>
      </c>
      <c r="N336" s="27" t="s">
        <v>2389</v>
      </c>
      <c r="O336" s="27" t="s">
        <v>2390</v>
      </c>
      <c r="P336" s="28">
        <v>402</v>
      </c>
      <c r="Q336" s="28">
        <v>851</v>
      </c>
      <c r="R336" s="28">
        <v>3045</v>
      </c>
      <c r="S336" s="29" t="s">
        <v>2391</v>
      </c>
      <c r="T336" s="28">
        <v>54</v>
      </c>
    </row>
    <row r="337" spans="1:20" ht="14.25" customHeight="1">
      <c r="A337" s="27" t="s">
        <v>2392</v>
      </c>
      <c r="B337" s="28" t="str">
        <f t="shared" si="0"/>
        <v>Daren</v>
      </c>
      <c r="C337" s="27" t="s">
        <v>511</v>
      </c>
      <c r="D337" s="27" t="s">
        <v>2393</v>
      </c>
      <c r="E337" s="28" t="str">
        <f t="shared" si="1"/>
        <v>Jacobs</v>
      </c>
      <c r="F337" s="28" t="str">
        <f t="shared" si="2"/>
        <v>Daren Jacobs</v>
      </c>
      <c r="G337" s="27" t="s">
        <v>210</v>
      </c>
      <c r="H337" s="27" t="str">
        <f t="shared" si="3"/>
        <v>Male</v>
      </c>
      <c r="I337" s="27" t="s">
        <v>2394</v>
      </c>
      <c r="J337" s="27" t="s">
        <v>2395</v>
      </c>
      <c r="K337" s="27" t="s">
        <v>1800</v>
      </c>
      <c r="L337" s="27">
        <v>10573</v>
      </c>
      <c r="M337" s="28" t="str">
        <f t="shared" si="4"/>
        <v>3276 Cook Hill Road, Port Chester, CT, 10573</v>
      </c>
      <c r="N337" s="27" t="s">
        <v>2396</v>
      </c>
      <c r="O337" s="27" t="s">
        <v>2397</v>
      </c>
      <c r="P337" s="28">
        <v>203</v>
      </c>
      <c r="Q337" s="28">
        <v>531</v>
      </c>
      <c r="R337" s="28">
        <v>9965</v>
      </c>
      <c r="S337" s="29" t="s">
        <v>2398</v>
      </c>
      <c r="T337" s="28">
        <v>399</v>
      </c>
    </row>
    <row r="338" spans="1:20" ht="14.25" customHeight="1">
      <c r="A338" s="27" t="s">
        <v>2399</v>
      </c>
      <c r="B338" s="28" t="str">
        <f t="shared" si="0"/>
        <v>Rebekah</v>
      </c>
      <c r="C338" s="27" t="s">
        <v>300</v>
      </c>
      <c r="D338" s="27" t="s">
        <v>2400</v>
      </c>
      <c r="E338" s="28" t="str">
        <f t="shared" si="1"/>
        <v>Sparling</v>
      </c>
      <c r="F338" s="28" t="str">
        <f t="shared" si="2"/>
        <v>Rebekah Sparling</v>
      </c>
      <c r="G338" s="27" t="s">
        <v>200</v>
      </c>
      <c r="H338" s="27" t="str">
        <f t="shared" si="3"/>
        <v>Female</v>
      </c>
      <c r="I338" s="27" t="s">
        <v>2401</v>
      </c>
      <c r="J338" s="27" t="s">
        <v>691</v>
      </c>
      <c r="K338" s="27" t="s">
        <v>221</v>
      </c>
      <c r="L338" s="27">
        <v>8102</v>
      </c>
      <c r="M338" s="28" t="str">
        <f t="shared" si="4"/>
        <v>4338 Dark Hollow Road, Camden, NJ, 8102</v>
      </c>
      <c r="N338" s="27" t="s">
        <v>2402</v>
      </c>
      <c r="O338" s="27" t="s">
        <v>2403</v>
      </c>
      <c r="P338" s="28">
        <v>609</v>
      </c>
      <c r="Q338" s="28">
        <v>235</v>
      </c>
      <c r="R338" s="28">
        <v>2740</v>
      </c>
      <c r="S338" s="29" t="s">
        <v>2404</v>
      </c>
      <c r="T338" s="28">
        <v>291</v>
      </c>
    </row>
    <row r="339" spans="1:20" ht="14.25" customHeight="1">
      <c r="A339" s="27" t="s">
        <v>2405</v>
      </c>
      <c r="B339" s="28" t="str">
        <f t="shared" si="0"/>
        <v>Irene</v>
      </c>
      <c r="C339" s="27" t="s">
        <v>533</v>
      </c>
      <c r="D339" s="27" t="s">
        <v>1185</v>
      </c>
      <c r="E339" s="28" t="str">
        <f t="shared" si="1"/>
        <v>Green</v>
      </c>
      <c r="F339" s="28" t="str">
        <f t="shared" si="2"/>
        <v>Irene Green</v>
      </c>
      <c r="G339" s="27" t="s">
        <v>200</v>
      </c>
      <c r="H339" s="27" t="str">
        <f t="shared" si="3"/>
        <v>Female</v>
      </c>
      <c r="I339" s="27" t="s">
        <v>2406</v>
      </c>
      <c r="J339" s="27" t="s">
        <v>2407</v>
      </c>
      <c r="K339" s="27" t="s">
        <v>256</v>
      </c>
      <c r="L339" s="27">
        <v>74135</v>
      </c>
      <c r="M339" s="28" t="str">
        <f t="shared" si="4"/>
        <v>3547 Morris Street, Pleasanton, TX, 74135</v>
      </c>
      <c r="N339" s="27" t="s">
        <v>2408</v>
      </c>
      <c r="O339" s="27" t="s">
        <v>2409</v>
      </c>
      <c r="P339" s="28">
        <v>830</v>
      </c>
      <c r="Q339" s="28">
        <v>275</v>
      </c>
      <c r="R339" s="28">
        <v>3683</v>
      </c>
      <c r="S339" s="29" t="s">
        <v>2410</v>
      </c>
      <c r="T339" s="28">
        <v>8920</v>
      </c>
    </row>
    <row r="340" spans="1:20" ht="14.25" customHeight="1">
      <c r="A340" s="27" t="s">
        <v>2411</v>
      </c>
      <c r="B340" s="28" t="str">
        <f t="shared" si="0"/>
        <v>Lynn</v>
      </c>
      <c r="C340" s="27" t="s">
        <v>2412</v>
      </c>
      <c r="D340" s="27" t="s">
        <v>2413</v>
      </c>
      <c r="E340" s="28" t="str">
        <f t="shared" si="1"/>
        <v>Cass</v>
      </c>
      <c r="F340" s="28" t="str">
        <f t="shared" si="2"/>
        <v>Lynn Cass</v>
      </c>
      <c r="G340" s="27" t="s">
        <v>210</v>
      </c>
      <c r="H340" s="27" t="str">
        <f t="shared" si="3"/>
        <v>Male</v>
      </c>
      <c r="I340" s="27" t="s">
        <v>2414</v>
      </c>
      <c r="J340" s="27" t="s">
        <v>2415</v>
      </c>
      <c r="K340" s="27" t="s">
        <v>329</v>
      </c>
      <c r="L340" s="27">
        <v>48420</v>
      </c>
      <c r="M340" s="28" t="str">
        <f t="shared" si="4"/>
        <v>3597 Perry Street, Clio, MI, 48420</v>
      </c>
      <c r="N340" s="27" t="s">
        <v>2416</v>
      </c>
      <c r="O340" s="27" t="s">
        <v>2417</v>
      </c>
      <c r="P340" s="28">
        <v>810</v>
      </c>
      <c r="Q340" s="28">
        <v>687</v>
      </c>
      <c r="R340" s="28">
        <v>4690</v>
      </c>
      <c r="S340" s="29" t="s">
        <v>2418</v>
      </c>
      <c r="T340" s="28">
        <v>5025</v>
      </c>
    </row>
    <row r="341" spans="1:20" ht="14.25" customHeight="1">
      <c r="A341" s="27" t="s">
        <v>316</v>
      </c>
      <c r="B341" s="28" t="str">
        <f t="shared" si="0"/>
        <v>Sue</v>
      </c>
      <c r="C341" s="27" t="s">
        <v>198</v>
      </c>
      <c r="D341" s="27" t="s">
        <v>2419</v>
      </c>
      <c r="E341" s="28" t="str">
        <f t="shared" si="1"/>
        <v>Rojas</v>
      </c>
      <c r="F341" s="28" t="str">
        <f t="shared" si="2"/>
        <v>Sue Rojas</v>
      </c>
      <c r="G341" s="27" t="s">
        <v>200</v>
      </c>
      <c r="H341" s="27" t="str">
        <f t="shared" si="3"/>
        <v>Female</v>
      </c>
      <c r="I341" s="27" t="s">
        <v>2420</v>
      </c>
      <c r="J341" s="27" t="s">
        <v>642</v>
      </c>
      <c r="K341" s="27" t="s">
        <v>272</v>
      </c>
      <c r="L341" s="27">
        <v>13202</v>
      </c>
      <c r="M341" s="28" t="str">
        <f t="shared" si="4"/>
        <v>349 Confederate Drive, Syracuse, NY, 13202</v>
      </c>
      <c r="N341" s="27" t="s">
        <v>2421</v>
      </c>
      <c r="O341" s="27" t="s">
        <v>2422</v>
      </c>
      <c r="P341" s="28">
        <v>315</v>
      </c>
      <c r="Q341" s="28">
        <v>703</v>
      </c>
      <c r="R341" s="28">
        <v>136</v>
      </c>
      <c r="S341" s="29" t="s">
        <v>2423</v>
      </c>
      <c r="T341" s="28">
        <v>872</v>
      </c>
    </row>
    <row r="342" spans="1:20" ht="14.25" customHeight="1">
      <c r="A342" s="27" t="s">
        <v>2424</v>
      </c>
      <c r="B342" s="28" t="str">
        <f t="shared" si="0"/>
        <v>Eulalia</v>
      </c>
      <c r="C342" s="27" t="s">
        <v>300</v>
      </c>
      <c r="D342" s="27" t="s">
        <v>1915</v>
      </c>
      <c r="E342" s="28" t="str">
        <f t="shared" si="1"/>
        <v>Miller</v>
      </c>
      <c r="F342" s="28" t="str">
        <f t="shared" si="2"/>
        <v>Eulalia Miller</v>
      </c>
      <c r="G342" s="27" t="s">
        <v>200</v>
      </c>
      <c r="H342" s="27" t="str">
        <f t="shared" si="3"/>
        <v>Female</v>
      </c>
      <c r="I342" s="27" t="s">
        <v>2425</v>
      </c>
      <c r="J342" s="27" t="s">
        <v>1611</v>
      </c>
      <c r="K342" s="27" t="s">
        <v>230</v>
      </c>
      <c r="L342" s="27">
        <v>20005</v>
      </c>
      <c r="M342" s="28" t="str">
        <f t="shared" si="4"/>
        <v>653 Cabell Avenue, Washington, VA, 20005</v>
      </c>
      <c r="N342" s="27" t="s">
        <v>2426</v>
      </c>
      <c r="O342" s="27" t="s">
        <v>2427</v>
      </c>
      <c r="P342" s="28">
        <v>703</v>
      </c>
      <c r="Q342" s="28">
        <v>579</v>
      </c>
      <c r="R342" s="28">
        <v>7053</v>
      </c>
      <c r="S342" s="29" t="s">
        <v>2428</v>
      </c>
      <c r="T342" s="28">
        <v>9778</v>
      </c>
    </row>
    <row r="343" spans="1:20" ht="14.25" customHeight="1">
      <c r="A343" s="27" t="s">
        <v>2429</v>
      </c>
      <c r="B343" s="28" t="str">
        <f t="shared" si="0"/>
        <v>Sandra</v>
      </c>
      <c r="C343" s="27" t="s">
        <v>381</v>
      </c>
      <c r="D343" s="27" t="s">
        <v>2430</v>
      </c>
      <c r="E343" s="28" t="str">
        <f t="shared" si="1"/>
        <v>Spinks</v>
      </c>
      <c r="F343" s="28" t="str">
        <f t="shared" si="2"/>
        <v>Sandra Spinks</v>
      </c>
      <c r="G343" s="27" t="s">
        <v>200</v>
      </c>
      <c r="H343" s="27" t="str">
        <f t="shared" si="3"/>
        <v>Female</v>
      </c>
      <c r="I343" s="27" t="s">
        <v>2431</v>
      </c>
      <c r="J343" s="27" t="s">
        <v>2432</v>
      </c>
      <c r="K343" s="27" t="s">
        <v>272</v>
      </c>
      <c r="L343" s="27">
        <v>14036</v>
      </c>
      <c r="M343" s="28" t="str">
        <f t="shared" si="4"/>
        <v>4444 James Street, Corfu, NY, 14036</v>
      </c>
      <c r="N343" s="27" t="s">
        <v>2433</v>
      </c>
      <c r="O343" s="27" t="s">
        <v>2434</v>
      </c>
      <c r="P343" s="28">
        <v>585</v>
      </c>
      <c r="Q343" s="28">
        <v>599</v>
      </c>
      <c r="R343" s="28">
        <v>9996</v>
      </c>
      <c r="S343" s="29" t="s">
        <v>2435</v>
      </c>
      <c r="T343" s="28">
        <v>4585</v>
      </c>
    </row>
    <row r="344" spans="1:20" ht="14.25" customHeight="1">
      <c r="A344" s="27" t="s">
        <v>2436</v>
      </c>
      <c r="B344" s="28" t="str">
        <f t="shared" si="0"/>
        <v>Miranda</v>
      </c>
      <c r="C344" s="27" t="s">
        <v>438</v>
      </c>
      <c r="D344" s="27" t="s">
        <v>703</v>
      </c>
      <c r="E344" s="28" t="str">
        <f t="shared" si="1"/>
        <v>Johnson</v>
      </c>
      <c r="F344" s="28" t="str">
        <f t="shared" si="2"/>
        <v>Miranda Johnson</v>
      </c>
      <c r="G344" s="27" t="s">
        <v>200</v>
      </c>
      <c r="H344" s="27" t="str">
        <f t="shared" si="3"/>
        <v>Female</v>
      </c>
      <c r="I344" s="27" t="s">
        <v>2437</v>
      </c>
      <c r="J344" s="27" t="s">
        <v>799</v>
      </c>
      <c r="K344" s="27" t="s">
        <v>424</v>
      </c>
      <c r="L344" s="27">
        <v>27925</v>
      </c>
      <c r="M344" s="28" t="str">
        <f t="shared" si="4"/>
        <v>242 Edwards Street, Columbia, NC, 27925</v>
      </c>
      <c r="N344" s="27" t="s">
        <v>2438</v>
      </c>
      <c r="O344" s="27" t="s">
        <v>2439</v>
      </c>
      <c r="P344" s="28">
        <v>252</v>
      </c>
      <c r="Q344" s="28">
        <v>796</v>
      </c>
      <c r="R344" s="28">
        <v>7464</v>
      </c>
      <c r="S344" s="29" t="s">
        <v>2440</v>
      </c>
      <c r="T344" s="28">
        <v>5813</v>
      </c>
    </row>
    <row r="345" spans="1:20" ht="14.25" customHeight="1">
      <c r="A345" s="27" t="s">
        <v>419</v>
      </c>
      <c r="B345" s="28" t="str">
        <f t="shared" si="0"/>
        <v>Robert</v>
      </c>
      <c r="C345" s="27" t="s">
        <v>252</v>
      </c>
      <c r="D345" s="27" t="s">
        <v>2441</v>
      </c>
      <c r="E345" s="28" t="str">
        <f t="shared" si="1"/>
        <v>Eiland</v>
      </c>
      <c r="F345" s="28" t="str">
        <f t="shared" si="2"/>
        <v>Robert Eiland</v>
      </c>
      <c r="G345" s="27" t="s">
        <v>210</v>
      </c>
      <c r="H345" s="27" t="str">
        <f t="shared" si="3"/>
        <v>Male</v>
      </c>
      <c r="I345" s="27" t="s">
        <v>2442</v>
      </c>
      <c r="J345" s="27" t="s">
        <v>2443</v>
      </c>
      <c r="K345" s="27" t="s">
        <v>1553</v>
      </c>
      <c r="L345" s="27">
        <v>72205</v>
      </c>
      <c r="M345" s="28" t="str">
        <f t="shared" si="4"/>
        <v>2540 Masonic Hill Road, Little Rock, AR, 72205</v>
      </c>
      <c r="N345" s="27" t="s">
        <v>2444</v>
      </c>
      <c r="O345" s="27" t="s">
        <v>2445</v>
      </c>
      <c r="P345" s="28">
        <v>501</v>
      </c>
      <c r="Q345" s="28">
        <v>615</v>
      </c>
      <c r="R345" s="28">
        <v>9324</v>
      </c>
      <c r="S345" s="29" t="s">
        <v>2446</v>
      </c>
      <c r="T345" s="28">
        <v>746</v>
      </c>
    </row>
    <row r="346" spans="1:20" ht="14.25" customHeight="1">
      <c r="A346" s="27" t="s">
        <v>2447</v>
      </c>
      <c r="B346" s="28" t="str">
        <f t="shared" si="0"/>
        <v>Catherine</v>
      </c>
      <c r="C346" s="27" t="s">
        <v>198</v>
      </c>
      <c r="D346" s="27" t="s">
        <v>2448</v>
      </c>
      <c r="E346" s="28" t="str">
        <f t="shared" si="1"/>
        <v>Sappington</v>
      </c>
      <c r="F346" s="28" t="str">
        <f t="shared" si="2"/>
        <v>Catherine Sappington</v>
      </c>
      <c r="G346" s="27" t="s">
        <v>200</v>
      </c>
      <c r="H346" s="27" t="str">
        <f t="shared" si="3"/>
        <v>Female</v>
      </c>
      <c r="I346" s="27" t="s">
        <v>2449</v>
      </c>
      <c r="J346" s="27" t="s">
        <v>2450</v>
      </c>
      <c r="K346" s="27" t="s">
        <v>329</v>
      </c>
      <c r="L346" s="27">
        <v>48708</v>
      </c>
      <c r="M346" s="28" t="str">
        <f t="shared" si="4"/>
        <v>131 Juniper Drive, Bay City, MI, 48708</v>
      </c>
      <c r="N346" s="27" t="s">
        <v>2451</v>
      </c>
      <c r="O346" s="27" t="s">
        <v>2452</v>
      </c>
      <c r="P346" s="28">
        <v>989</v>
      </c>
      <c r="Q346" s="28">
        <v>894</v>
      </c>
      <c r="R346" s="28">
        <v>4769</v>
      </c>
      <c r="S346" s="29" t="s">
        <v>2453</v>
      </c>
      <c r="T346" s="28">
        <v>191</v>
      </c>
    </row>
    <row r="347" spans="1:20" ht="14.25" customHeight="1">
      <c r="A347" s="27" t="s">
        <v>2454</v>
      </c>
      <c r="B347" s="28" t="str">
        <f t="shared" si="0"/>
        <v>Brianna</v>
      </c>
      <c r="C347" s="27" t="s">
        <v>235</v>
      </c>
      <c r="D347" s="27" t="s">
        <v>2455</v>
      </c>
      <c r="E347" s="28" t="str">
        <f t="shared" si="1"/>
        <v>Higgins</v>
      </c>
      <c r="F347" s="28" t="str">
        <f t="shared" si="2"/>
        <v>Brianna Higgins</v>
      </c>
      <c r="G347" s="27" t="s">
        <v>200</v>
      </c>
      <c r="H347" s="27" t="str">
        <f t="shared" si="3"/>
        <v>Female</v>
      </c>
      <c r="I347" s="27" t="s">
        <v>2456</v>
      </c>
      <c r="J347" s="27" t="s">
        <v>353</v>
      </c>
      <c r="K347" s="27" t="s">
        <v>684</v>
      </c>
      <c r="L347" s="27">
        <v>60631</v>
      </c>
      <c r="M347" s="28" t="str">
        <f t="shared" si="4"/>
        <v>4887 Post Avenue, Chicago, IN, 60631</v>
      </c>
      <c r="N347" s="27" t="s">
        <v>2457</v>
      </c>
      <c r="O347" s="27" t="s">
        <v>2458</v>
      </c>
      <c r="P347" s="28">
        <v>219</v>
      </c>
      <c r="Q347" s="28">
        <v>308</v>
      </c>
      <c r="R347" s="28">
        <v>7382</v>
      </c>
      <c r="S347" s="29" t="s">
        <v>2459</v>
      </c>
      <c r="T347" s="28">
        <v>418</v>
      </c>
    </row>
    <row r="348" spans="1:20" ht="14.25" customHeight="1">
      <c r="A348" s="27" t="s">
        <v>2460</v>
      </c>
      <c r="B348" s="28" t="str">
        <f t="shared" si="0"/>
        <v>Luis</v>
      </c>
      <c r="C348" s="27" t="s">
        <v>252</v>
      </c>
      <c r="D348" s="27" t="s">
        <v>2461</v>
      </c>
      <c r="E348" s="28" t="str">
        <f t="shared" si="1"/>
        <v>Stokes</v>
      </c>
      <c r="F348" s="28" t="str">
        <f t="shared" si="2"/>
        <v>Luis Stokes</v>
      </c>
      <c r="G348" s="27" t="s">
        <v>210</v>
      </c>
      <c r="H348" s="27" t="str">
        <f t="shared" si="3"/>
        <v>Male</v>
      </c>
      <c r="I348" s="27" t="s">
        <v>2462</v>
      </c>
      <c r="J348" s="27" t="s">
        <v>353</v>
      </c>
      <c r="K348" s="27" t="s">
        <v>203</v>
      </c>
      <c r="L348" s="27">
        <v>60607</v>
      </c>
      <c r="M348" s="28" t="str">
        <f t="shared" si="4"/>
        <v>4284 West Drive, Chicago, IL, 60607</v>
      </c>
      <c r="N348" s="27" t="s">
        <v>2463</v>
      </c>
      <c r="O348" s="27" t="s">
        <v>2464</v>
      </c>
      <c r="P348" s="28">
        <v>312</v>
      </c>
      <c r="Q348" s="28">
        <v>432</v>
      </c>
      <c r="R348" s="28">
        <v>5580</v>
      </c>
      <c r="S348" s="29" t="s">
        <v>2465</v>
      </c>
      <c r="T348" s="28">
        <v>6259</v>
      </c>
    </row>
    <row r="349" spans="1:20" ht="14.25" customHeight="1">
      <c r="A349" s="27" t="s">
        <v>2466</v>
      </c>
      <c r="B349" s="28" t="str">
        <f t="shared" si="0"/>
        <v>Russ</v>
      </c>
      <c r="C349" s="27" t="s">
        <v>533</v>
      </c>
      <c r="D349" s="27" t="s">
        <v>2467</v>
      </c>
      <c r="E349" s="28" t="str">
        <f t="shared" si="1"/>
        <v>Morrison</v>
      </c>
      <c r="F349" s="28" t="str">
        <f t="shared" si="2"/>
        <v>Russ Morrison</v>
      </c>
      <c r="G349" s="27" t="s">
        <v>210</v>
      </c>
      <c r="H349" s="27" t="str">
        <f t="shared" si="3"/>
        <v>Male</v>
      </c>
      <c r="I349" s="27" t="s">
        <v>2468</v>
      </c>
      <c r="J349" s="27" t="s">
        <v>1325</v>
      </c>
      <c r="K349" s="27" t="s">
        <v>272</v>
      </c>
      <c r="L349" s="27">
        <v>10007</v>
      </c>
      <c r="M349" s="28" t="str">
        <f t="shared" si="4"/>
        <v>3892 Hanover Street, New York, NY, 10007</v>
      </c>
      <c r="N349" s="27" t="s">
        <v>2469</v>
      </c>
      <c r="O349" s="27" t="s">
        <v>2470</v>
      </c>
      <c r="P349" s="28">
        <v>917</v>
      </c>
      <c r="Q349" s="28">
        <v>678</v>
      </c>
      <c r="R349" s="28">
        <v>5295</v>
      </c>
      <c r="S349" s="29" t="s">
        <v>2471</v>
      </c>
      <c r="T349" s="28">
        <v>3879</v>
      </c>
    </row>
    <row r="350" spans="1:20" ht="14.25" customHeight="1">
      <c r="A350" s="27" t="s">
        <v>2472</v>
      </c>
      <c r="B350" s="28" t="str">
        <f t="shared" si="0"/>
        <v>Carlotta</v>
      </c>
      <c r="C350" s="27" t="s">
        <v>350</v>
      </c>
      <c r="D350" s="27" t="s">
        <v>2473</v>
      </c>
      <c r="E350" s="28" t="str">
        <f t="shared" si="1"/>
        <v>Chamberlain</v>
      </c>
      <c r="F350" s="28" t="str">
        <f t="shared" si="2"/>
        <v>Carlotta Chamberlain</v>
      </c>
      <c r="G350" s="27" t="s">
        <v>200</v>
      </c>
      <c r="H350" s="27" t="str">
        <f t="shared" si="3"/>
        <v>Female</v>
      </c>
      <c r="I350" s="27" t="s">
        <v>2474</v>
      </c>
      <c r="J350" s="27" t="s">
        <v>747</v>
      </c>
      <c r="K350" s="27" t="s">
        <v>706</v>
      </c>
      <c r="L350" s="27">
        <v>15222</v>
      </c>
      <c r="M350" s="28" t="str">
        <f t="shared" si="4"/>
        <v>89 Beechwood Drive, Pittsburgh, PA, 15222</v>
      </c>
      <c r="N350" s="27" t="s">
        <v>2475</v>
      </c>
      <c r="O350" s="27" t="s">
        <v>2476</v>
      </c>
      <c r="P350" s="28">
        <v>412</v>
      </c>
      <c r="Q350" s="28">
        <v>216</v>
      </c>
      <c r="R350" s="28">
        <v>9115</v>
      </c>
      <c r="S350" s="29" t="s">
        <v>2477</v>
      </c>
      <c r="T350" s="28">
        <v>9804</v>
      </c>
    </row>
    <row r="351" spans="1:20" ht="14.25" customHeight="1">
      <c r="A351" s="27" t="s">
        <v>2478</v>
      </c>
      <c r="B351" s="28" t="str">
        <f t="shared" si="0"/>
        <v>Stanley</v>
      </c>
      <c r="C351" s="27" t="s">
        <v>381</v>
      </c>
      <c r="D351" s="27" t="s">
        <v>2479</v>
      </c>
      <c r="E351" s="28" t="str">
        <f t="shared" si="1"/>
        <v>Vinson</v>
      </c>
      <c r="F351" s="28" t="str">
        <f t="shared" si="2"/>
        <v>Stanley Vinson</v>
      </c>
      <c r="G351" s="27" t="s">
        <v>210</v>
      </c>
      <c r="H351" s="27" t="str">
        <f t="shared" si="3"/>
        <v>Male</v>
      </c>
      <c r="I351" s="27" t="s">
        <v>2480</v>
      </c>
      <c r="J351" s="27" t="s">
        <v>1793</v>
      </c>
      <c r="K351" s="27" t="s">
        <v>239</v>
      </c>
      <c r="L351" s="27">
        <v>70601</v>
      </c>
      <c r="M351" s="28" t="str">
        <f t="shared" si="4"/>
        <v>2548 Sarah Drive, Lake Charles, LA, 70601</v>
      </c>
      <c r="N351" s="27" t="s">
        <v>2481</v>
      </c>
      <c r="O351" s="27" t="s">
        <v>2482</v>
      </c>
      <c r="P351" s="28">
        <v>337</v>
      </c>
      <c r="Q351" s="28">
        <v>505</v>
      </c>
      <c r="R351" s="28">
        <v>6275</v>
      </c>
      <c r="S351" s="29" t="s">
        <v>2483</v>
      </c>
      <c r="T351" s="28">
        <v>379</v>
      </c>
    </row>
    <row r="352" spans="1:20" ht="14.25" customHeight="1">
      <c r="A352" s="27" t="s">
        <v>2484</v>
      </c>
      <c r="B352" s="28" t="str">
        <f t="shared" si="0"/>
        <v>Vern</v>
      </c>
      <c r="C352" s="27" t="s">
        <v>533</v>
      </c>
      <c r="D352" s="27" t="s">
        <v>2485</v>
      </c>
      <c r="E352" s="28" t="str">
        <f t="shared" si="1"/>
        <v>Ripple</v>
      </c>
      <c r="F352" s="28" t="str">
        <f t="shared" si="2"/>
        <v>Vern Ripple</v>
      </c>
      <c r="G352" s="27" t="s">
        <v>210</v>
      </c>
      <c r="H352" s="27" t="str">
        <f t="shared" si="3"/>
        <v>Male</v>
      </c>
      <c r="I352" s="27" t="s">
        <v>2486</v>
      </c>
      <c r="J352" s="27" t="s">
        <v>1713</v>
      </c>
      <c r="K352" s="27" t="s">
        <v>1714</v>
      </c>
      <c r="L352" s="27">
        <v>89109</v>
      </c>
      <c r="M352" s="28" t="str">
        <f t="shared" si="4"/>
        <v>4135 Hickory Ridge Drive, Las Vegas, NV, 89109</v>
      </c>
      <c r="N352" s="27" t="s">
        <v>2487</v>
      </c>
      <c r="O352" s="27" t="s">
        <v>2488</v>
      </c>
      <c r="P352" s="28">
        <v>702</v>
      </c>
      <c r="Q352" s="28">
        <v>681</v>
      </c>
      <c r="R352" s="28">
        <v>1168</v>
      </c>
      <c r="S352" s="29" t="s">
        <v>2489</v>
      </c>
      <c r="T352" s="28">
        <v>384</v>
      </c>
    </row>
    <row r="353" spans="1:20" ht="14.25" customHeight="1">
      <c r="A353" s="27" t="s">
        <v>2490</v>
      </c>
      <c r="B353" s="28" t="str">
        <f t="shared" si="0"/>
        <v>Kathleen</v>
      </c>
      <c r="C353" s="27" t="s">
        <v>284</v>
      </c>
      <c r="D353" s="27" t="s">
        <v>1386</v>
      </c>
      <c r="E353" s="28" t="str">
        <f t="shared" si="1"/>
        <v>Walters</v>
      </c>
      <c r="F353" s="28" t="str">
        <f t="shared" si="2"/>
        <v>Kathleen Walters</v>
      </c>
      <c r="G353" s="27" t="s">
        <v>200</v>
      </c>
      <c r="H353" s="27" t="str">
        <f t="shared" si="3"/>
        <v>Female</v>
      </c>
      <c r="I353" s="27" t="s">
        <v>2491</v>
      </c>
      <c r="J353" s="27" t="s">
        <v>1026</v>
      </c>
      <c r="K353" s="27" t="s">
        <v>706</v>
      </c>
      <c r="L353" s="27">
        <v>19103</v>
      </c>
      <c r="M353" s="28" t="str">
        <f t="shared" si="4"/>
        <v>4692 Tipple Road, Philadelphia, PA, 19103</v>
      </c>
      <c r="N353" s="27" t="s">
        <v>2492</v>
      </c>
      <c r="O353" s="27" t="s">
        <v>2493</v>
      </c>
      <c r="P353" s="28">
        <v>215</v>
      </c>
      <c r="Q353" s="28">
        <v>751</v>
      </c>
      <c r="R353" s="28">
        <v>3031</v>
      </c>
      <c r="S353" s="29" t="s">
        <v>2494</v>
      </c>
      <c r="T353" s="28">
        <v>9840</v>
      </c>
    </row>
    <row r="354" spans="1:20" ht="14.25" customHeight="1">
      <c r="A354" s="27" t="s">
        <v>419</v>
      </c>
      <c r="B354" s="28" t="str">
        <f t="shared" si="0"/>
        <v>Robert</v>
      </c>
      <c r="C354" s="27" t="s">
        <v>350</v>
      </c>
      <c r="D354" s="27" t="s">
        <v>2495</v>
      </c>
      <c r="E354" s="28" t="str">
        <f t="shared" si="1"/>
        <v>Bushman</v>
      </c>
      <c r="F354" s="28" t="str">
        <f t="shared" si="2"/>
        <v>Robert Bushman</v>
      </c>
      <c r="G354" s="27" t="s">
        <v>210</v>
      </c>
      <c r="H354" s="27" t="str">
        <f t="shared" si="3"/>
        <v>Male</v>
      </c>
      <c r="I354" s="27" t="s">
        <v>2496</v>
      </c>
      <c r="J354" s="27" t="s">
        <v>2497</v>
      </c>
      <c r="K354" s="27" t="s">
        <v>706</v>
      </c>
      <c r="L354" s="27">
        <v>16644</v>
      </c>
      <c r="M354" s="28" t="str">
        <f t="shared" si="4"/>
        <v>2346 Spadafore Drive, Glasgow, PA, 16644</v>
      </c>
      <c r="N354" s="27" t="s">
        <v>2498</v>
      </c>
      <c r="O354" s="27" t="s">
        <v>2499</v>
      </c>
      <c r="P354" s="28">
        <v>814</v>
      </c>
      <c r="Q354" s="28">
        <v>687</v>
      </c>
      <c r="R354" s="28">
        <v>8961</v>
      </c>
      <c r="S354" s="29" t="s">
        <v>2500</v>
      </c>
      <c r="T354" s="28">
        <v>4703</v>
      </c>
    </row>
    <row r="355" spans="1:20" ht="14.25" customHeight="1">
      <c r="A355" s="27" t="s">
        <v>2501</v>
      </c>
      <c r="B355" s="28" t="str">
        <f t="shared" si="0"/>
        <v>Andrea</v>
      </c>
      <c r="C355" s="27" t="s">
        <v>252</v>
      </c>
      <c r="D355" s="27" t="s">
        <v>2502</v>
      </c>
      <c r="E355" s="28" t="str">
        <f t="shared" si="1"/>
        <v>Goode</v>
      </c>
      <c r="F355" s="28" t="str">
        <f t="shared" si="2"/>
        <v>Andrea Goode</v>
      </c>
      <c r="G355" s="27" t="s">
        <v>200</v>
      </c>
      <c r="H355" s="27" t="str">
        <f t="shared" si="3"/>
        <v>Female</v>
      </c>
      <c r="I355" s="27" t="s">
        <v>2503</v>
      </c>
      <c r="J355" s="27" t="s">
        <v>2504</v>
      </c>
      <c r="K355" s="27" t="s">
        <v>230</v>
      </c>
      <c r="L355" s="27">
        <v>22401</v>
      </c>
      <c r="M355" s="28" t="str">
        <f t="shared" si="4"/>
        <v>4928 Hurry Street, Fredericksburg, VA, 22401</v>
      </c>
      <c r="N355" s="27" t="s">
        <v>2505</v>
      </c>
      <c r="O355" s="27" t="s">
        <v>2506</v>
      </c>
      <c r="P355" s="28">
        <v>540</v>
      </c>
      <c r="Q355" s="28">
        <v>368</v>
      </c>
      <c r="R355" s="28">
        <v>4413</v>
      </c>
      <c r="S355" s="29" t="s">
        <v>2507</v>
      </c>
      <c r="T355" s="28">
        <v>270</v>
      </c>
    </row>
    <row r="356" spans="1:20" ht="14.25" customHeight="1">
      <c r="A356" s="27" t="s">
        <v>2508</v>
      </c>
      <c r="B356" s="28" t="str">
        <f t="shared" si="0"/>
        <v>Jennie</v>
      </c>
      <c r="C356" s="27" t="s">
        <v>208</v>
      </c>
      <c r="D356" s="27" t="s">
        <v>2509</v>
      </c>
      <c r="E356" s="28" t="str">
        <f t="shared" si="1"/>
        <v>Tellez</v>
      </c>
      <c r="F356" s="28" t="str">
        <f t="shared" si="2"/>
        <v>Jennie Tellez</v>
      </c>
      <c r="G356" s="27" t="s">
        <v>200</v>
      </c>
      <c r="H356" s="27" t="str">
        <f t="shared" si="3"/>
        <v>Female</v>
      </c>
      <c r="I356" s="27" t="s">
        <v>2510</v>
      </c>
      <c r="J356" s="27" t="s">
        <v>2511</v>
      </c>
      <c r="K356" s="27" t="s">
        <v>368</v>
      </c>
      <c r="L356" s="27">
        <v>32084</v>
      </c>
      <c r="M356" s="28" t="str">
        <f t="shared" si="4"/>
        <v>4465 Brannon Avenue, St Augustine, FL, 32084</v>
      </c>
      <c r="N356" s="27" t="s">
        <v>2512</v>
      </c>
      <c r="O356" s="27" t="s">
        <v>2513</v>
      </c>
      <c r="P356" s="28">
        <v>904</v>
      </c>
      <c r="Q356" s="28">
        <v>824</v>
      </c>
      <c r="R356" s="28">
        <v>8057</v>
      </c>
      <c r="S356" s="29" t="s">
        <v>2514</v>
      </c>
      <c r="T356" s="28">
        <v>2143</v>
      </c>
    </row>
    <row r="357" spans="1:20" ht="14.25" customHeight="1">
      <c r="A357" s="27" t="s">
        <v>357</v>
      </c>
      <c r="B357" s="28" t="str">
        <f t="shared" si="0"/>
        <v>James</v>
      </c>
      <c r="C357" s="27" t="s">
        <v>350</v>
      </c>
      <c r="D357" s="27" t="s">
        <v>285</v>
      </c>
      <c r="E357" s="28" t="str">
        <f t="shared" si="1"/>
        <v>Ford</v>
      </c>
      <c r="F357" s="28" t="str">
        <f t="shared" si="2"/>
        <v>James Ford</v>
      </c>
      <c r="G357" s="27" t="s">
        <v>210</v>
      </c>
      <c r="H357" s="27" t="str">
        <f t="shared" si="3"/>
        <v>Male</v>
      </c>
      <c r="I357" s="27" t="s">
        <v>2515</v>
      </c>
      <c r="J357" s="27" t="s">
        <v>2516</v>
      </c>
      <c r="K357" s="27" t="s">
        <v>433</v>
      </c>
      <c r="L357" s="27">
        <v>1581</v>
      </c>
      <c r="M357" s="28" t="str">
        <f t="shared" si="4"/>
        <v>3445 Stadium Drive, Westborough, MA, 1581</v>
      </c>
      <c r="N357" s="27" t="s">
        <v>2517</v>
      </c>
      <c r="O357" s="27" t="s">
        <v>2518</v>
      </c>
      <c r="P357" s="28">
        <v>508</v>
      </c>
      <c r="Q357" s="28">
        <v>254</v>
      </c>
      <c r="R357" s="28">
        <v>4835</v>
      </c>
      <c r="S357" s="29" t="s">
        <v>2519</v>
      </c>
      <c r="T357" s="28">
        <v>574</v>
      </c>
    </row>
    <row r="358" spans="1:20" ht="14.25" customHeight="1">
      <c r="A358" s="27" t="s">
        <v>349</v>
      </c>
      <c r="B358" s="28" t="str">
        <f t="shared" si="0"/>
        <v>Grace</v>
      </c>
      <c r="C358" s="27" t="s">
        <v>334</v>
      </c>
      <c r="D358" s="27" t="s">
        <v>2520</v>
      </c>
      <c r="E358" s="28" t="str">
        <f t="shared" si="1"/>
        <v>Garett</v>
      </c>
      <c r="F358" s="28" t="str">
        <f t="shared" si="2"/>
        <v>Grace Garett</v>
      </c>
      <c r="G358" s="27" t="s">
        <v>200</v>
      </c>
      <c r="H358" s="27" t="str">
        <f t="shared" si="3"/>
        <v>Female</v>
      </c>
      <c r="I358" s="27" t="s">
        <v>2521</v>
      </c>
      <c r="J358" s="27" t="s">
        <v>2522</v>
      </c>
      <c r="K358" s="27" t="s">
        <v>393</v>
      </c>
      <c r="L358" s="27">
        <v>25844</v>
      </c>
      <c r="M358" s="28" t="str">
        <f t="shared" si="4"/>
        <v>3615 Kelly Drive, Glen Daniel, WV, 25844</v>
      </c>
      <c r="N358" s="27" t="s">
        <v>2523</v>
      </c>
      <c r="O358" s="27" t="s">
        <v>2524</v>
      </c>
      <c r="P358" s="28">
        <v>304</v>
      </c>
      <c r="Q358" s="28">
        <v>934</v>
      </c>
      <c r="R358" s="28">
        <v>4291</v>
      </c>
      <c r="S358" s="29" t="s">
        <v>2525</v>
      </c>
      <c r="T358" s="28">
        <v>5879</v>
      </c>
    </row>
    <row r="359" spans="1:20" ht="14.25" customHeight="1">
      <c r="A359" s="27" t="s">
        <v>2526</v>
      </c>
      <c r="B359" s="28" t="str">
        <f t="shared" si="0"/>
        <v>Amelia</v>
      </c>
      <c r="C359" s="27" t="s">
        <v>235</v>
      </c>
      <c r="D359" s="27" t="s">
        <v>1550</v>
      </c>
      <c r="E359" s="28" t="str">
        <f t="shared" si="1"/>
        <v>Ramirez</v>
      </c>
      <c r="F359" s="28" t="str">
        <f t="shared" si="2"/>
        <v>Amelia Ramirez</v>
      </c>
      <c r="G359" s="27" t="s">
        <v>200</v>
      </c>
      <c r="H359" s="27" t="str">
        <f t="shared" si="3"/>
        <v>Female</v>
      </c>
      <c r="I359" s="27" t="s">
        <v>2527</v>
      </c>
      <c r="J359" s="27" t="s">
        <v>2528</v>
      </c>
      <c r="K359" s="27" t="s">
        <v>213</v>
      </c>
      <c r="L359" s="27">
        <v>92311</v>
      </c>
      <c r="M359" s="28" t="str">
        <f t="shared" si="4"/>
        <v>1004 Parkway Street, Barstow, CA, 92311</v>
      </c>
      <c r="N359" s="27" t="s">
        <v>2529</v>
      </c>
      <c r="O359" s="27" t="s">
        <v>2530</v>
      </c>
      <c r="P359" s="28">
        <v>760</v>
      </c>
      <c r="Q359" s="28">
        <v>252</v>
      </c>
      <c r="R359" s="28">
        <v>2755</v>
      </c>
      <c r="S359" s="29" t="s">
        <v>2531</v>
      </c>
      <c r="T359" s="28">
        <v>873</v>
      </c>
    </row>
    <row r="360" spans="1:20" ht="14.25" customHeight="1">
      <c r="A360" s="27" t="s">
        <v>2532</v>
      </c>
      <c r="B360" s="28" t="str">
        <f t="shared" si="0"/>
        <v>Crystal</v>
      </c>
      <c r="C360" s="27" t="s">
        <v>429</v>
      </c>
      <c r="D360" s="27" t="s">
        <v>1168</v>
      </c>
      <c r="E360" s="28" t="str">
        <f t="shared" si="1"/>
        <v>Hansen</v>
      </c>
      <c r="F360" s="28" t="str">
        <f t="shared" si="2"/>
        <v>Crystal Hansen</v>
      </c>
      <c r="G360" s="27" t="s">
        <v>200</v>
      </c>
      <c r="H360" s="27" t="str">
        <f t="shared" si="3"/>
        <v>Female</v>
      </c>
      <c r="I360" s="27" t="s">
        <v>2533</v>
      </c>
      <c r="J360" s="27" t="s">
        <v>2534</v>
      </c>
      <c r="K360" s="27" t="s">
        <v>491</v>
      </c>
      <c r="L360" s="27">
        <v>55102</v>
      </c>
      <c r="M360" s="28" t="str">
        <f t="shared" si="4"/>
        <v>1058 Bryan Avenue, Saint Paul, MN, 55102</v>
      </c>
      <c r="N360" s="27" t="s">
        <v>2535</v>
      </c>
      <c r="O360" s="27" t="s">
        <v>2536</v>
      </c>
      <c r="P360" s="28">
        <v>651</v>
      </c>
      <c r="Q360" s="28">
        <v>310</v>
      </c>
      <c r="R360" s="28">
        <v>5786</v>
      </c>
      <c r="S360" s="29" t="s">
        <v>2537</v>
      </c>
      <c r="T360" s="28">
        <v>1534</v>
      </c>
    </row>
    <row r="361" spans="1:20" ht="14.25" customHeight="1">
      <c r="A361" s="27" t="s">
        <v>843</v>
      </c>
      <c r="B361" s="28" t="str">
        <f t="shared" si="0"/>
        <v>Thelma</v>
      </c>
      <c r="C361" s="27" t="s">
        <v>334</v>
      </c>
      <c r="D361" s="27" t="s">
        <v>2538</v>
      </c>
      <c r="E361" s="28" t="str">
        <f t="shared" si="1"/>
        <v>Parr</v>
      </c>
      <c r="F361" s="28" t="str">
        <f t="shared" si="2"/>
        <v>Thelma Parr</v>
      </c>
      <c r="G361" s="27" t="s">
        <v>200</v>
      </c>
      <c r="H361" s="27" t="str">
        <f t="shared" si="3"/>
        <v>Female</v>
      </c>
      <c r="I361" s="27" t="s">
        <v>2539</v>
      </c>
      <c r="J361" s="27" t="s">
        <v>2540</v>
      </c>
      <c r="K361" s="27" t="s">
        <v>469</v>
      </c>
      <c r="L361" s="27">
        <v>43607</v>
      </c>
      <c r="M361" s="28" t="str">
        <f t="shared" si="4"/>
        <v>775 Stonecoal Road, Toledo, OH, 43607</v>
      </c>
      <c r="N361" s="27" t="s">
        <v>2541</v>
      </c>
      <c r="O361" s="27" t="s">
        <v>2542</v>
      </c>
      <c r="P361" s="28">
        <v>419</v>
      </c>
      <c r="Q361" s="28">
        <v>534</v>
      </c>
      <c r="R361" s="28">
        <v>285</v>
      </c>
      <c r="S361" s="29" t="s">
        <v>2543</v>
      </c>
      <c r="T361" s="28">
        <v>868</v>
      </c>
    </row>
    <row r="362" spans="1:20" ht="14.25" customHeight="1">
      <c r="A362" s="27" t="s">
        <v>2544</v>
      </c>
      <c r="B362" s="28" t="str">
        <f t="shared" si="0"/>
        <v>Donny</v>
      </c>
      <c r="C362" s="27" t="s">
        <v>226</v>
      </c>
      <c r="D362" s="27" t="s">
        <v>2545</v>
      </c>
      <c r="E362" s="28" t="str">
        <f t="shared" si="1"/>
        <v>Clemens</v>
      </c>
      <c r="F362" s="28" t="str">
        <f t="shared" si="2"/>
        <v>Donny Clemens</v>
      </c>
      <c r="G362" s="27" t="s">
        <v>210</v>
      </c>
      <c r="H362" s="27" t="str">
        <f t="shared" si="3"/>
        <v>Male</v>
      </c>
      <c r="I362" s="27" t="s">
        <v>2546</v>
      </c>
      <c r="J362" s="27" t="s">
        <v>2547</v>
      </c>
      <c r="K362" s="27" t="s">
        <v>491</v>
      </c>
      <c r="L362" s="27">
        <v>55925</v>
      </c>
      <c r="M362" s="28" t="str">
        <f t="shared" si="4"/>
        <v>147 Trymore Road, Dakota, MN, 55925</v>
      </c>
      <c r="N362" s="27" t="s">
        <v>2548</v>
      </c>
      <c r="O362" s="27" t="s">
        <v>2549</v>
      </c>
      <c r="P362" s="28">
        <v>507</v>
      </c>
      <c r="Q362" s="28">
        <v>643</v>
      </c>
      <c r="R362" s="28">
        <v>6453</v>
      </c>
      <c r="S362" s="29" t="s">
        <v>2550</v>
      </c>
      <c r="T362" s="28">
        <v>8161</v>
      </c>
    </row>
    <row r="363" spans="1:20" ht="14.25" customHeight="1">
      <c r="A363" s="27" t="s">
        <v>2551</v>
      </c>
      <c r="B363" s="28" t="str">
        <f t="shared" si="0"/>
        <v>Kimberly</v>
      </c>
      <c r="C363" s="27" t="s">
        <v>533</v>
      </c>
      <c r="D363" s="27" t="s">
        <v>2552</v>
      </c>
      <c r="E363" s="28" t="str">
        <f t="shared" si="1"/>
        <v>Warner</v>
      </c>
      <c r="F363" s="28" t="str">
        <f t="shared" si="2"/>
        <v>Kimberly Warner</v>
      </c>
      <c r="G363" s="27" t="s">
        <v>200</v>
      </c>
      <c r="H363" s="27" t="str">
        <f t="shared" si="3"/>
        <v>Female</v>
      </c>
      <c r="I363" s="27" t="s">
        <v>2553</v>
      </c>
      <c r="J363" s="27" t="s">
        <v>2554</v>
      </c>
      <c r="K363" s="27" t="s">
        <v>684</v>
      </c>
      <c r="L363" s="27">
        <v>46511</v>
      </c>
      <c r="M363" s="28" t="str">
        <f t="shared" si="4"/>
        <v>468 Sand Fork Road, Culver, IN, 46511</v>
      </c>
      <c r="N363" s="27" t="s">
        <v>2555</v>
      </c>
      <c r="O363" s="27" t="s">
        <v>2556</v>
      </c>
      <c r="P363" s="28">
        <v>574</v>
      </c>
      <c r="Q363" s="28">
        <v>842</v>
      </c>
      <c r="R363" s="28">
        <v>3766</v>
      </c>
      <c r="S363" s="29" t="s">
        <v>2557</v>
      </c>
      <c r="T363" s="28">
        <v>2516</v>
      </c>
    </row>
    <row r="364" spans="1:20" ht="14.25" customHeight="1">
      <c r="A364" s="27" t="s">
        <v>639</v>
      </c>
      <c r="B364" s="28" t="str">
        <f t="shared" si="0"/>
        <v>David</v>
      </c>
      <c r="C364" s="27" t="s">
        <v>511</v>
      </c>
      <c r="D364" s="27" t="s">
        <v>2558</v>
      </c>
      <c r="E364" s="28" t="str">
        <f t="shared" si="1"/>
        <v>Middleton</v>
      </c>
      <c r="F364" s="28" t="str">
        <f t="shared" si="2"/>
        <v>David Middleton</v>
      </c>
      <c r="G364" s="27" t="s">
        <v>210</v>
      </c>
      <c r="H364" s="27" t="str">
        <f t="shared" si="3"/>
        <v>Male</v>
      </c>
      <c r="I364" s="27" t="s">
        <v>2559</v>
      </c>
      <c r="J364" s="27" t="s">
        <v>2560</v>
      </c>
      <c r="K364" s="27" t="s">
        <v>203</v>
      </c>
      <c r="L364" s="27">
        <v>60527</v>
      </c>
      <c r="M364" s="28" t="str">
        <f t="shared" si="4"/>
        <v>3692 Hog Camp Road, Burr Ridge, IL, 60527</v>
      </c>
      <c r="N364" s="27" t="s">
        <v>2561</v>
      </c>
      <c r="O364" s="27" t="s">
        <v>2562</v>
      </c>
      <c r="P364" s="28">
        <v>708</v>
      </c>
      <c r="Q364" s="28">
        <v>440</v>
      </c>
      <c r="R364" s="28">
        <v>1717</v>
      </c>
      <c r="S364" s="29" t="s">
        <v>2563</v>
      </c>
      <c r="T364" s="28">
        <v>4032</v>
      </c>
    </row>
    <row r="365" spans="1:20" ht="14.25" customHeight="1">
      <c r="A365" s="27" t="s">
        <v>419</v>
      </c>
      <c r="B365" s="28" t="str">
        <f t="shared" si="0"/>
        <v>Robert</v>
      </c>
      <c r="C365" s="27" t="s">
        <v>198</v>
      </c>
      <c r="D365" s="27" t="s">
        <v>1505</v>
      </c>
      <c r="E365" s="28" t="str">
        <f t="shared" si="1"/>
        <v>Martin</v>
      </c>
      <c r="F365" s="28" t="str">
        <f t="shared" si="2"/>
        <v>Robert Martin</v>
      </c>
      <c r="G365" s="27" t="s">
        <v>210</v>
      </c>
      <c r="H365" s="27" t="str">
        <f t="shared" si="3"/>
        <v>Male</v>
      </c>
      <c r="I365" s="27" t="s">
        <v>2564</v>
      </c>
      <c r="J365" s="27" t="s">
        <v>2565</v>
      </c>
      <c r="K365" s="27" t="s">
        <v>213</v>
      </c>
      <c r="L365" s="27">
        <v>91505</v>
      </c>
      <c r="M365" s="28" t="str">
        <f t="shared" si="4"/>
        <v>1671 Angie Drive, Burbank, CA, 91505</v>
      </c>
      <c r="N365" s="27" t="s">
        <v>2566</v>
      </c>
      <c r="O365" s="27" t="s">
        <v>2567</v>
      </c>
      <c r="P365" s="28">
        <v>714</v>
      </c>
      <c r="Q365" s="28">
        <v>932</v>
      </c>
      <c r="R365" s="28">
        <v>522</v>
      </c>
      <c r="S365" s="29" t="s">
        <v>2568</v>
      </c>
      <c r="T365" s="28">
        <v>6165</v>
      </c>
    </row>
    <row r="366" spans="1:20" ht="14.25" customHeight="1">
      <c r="A366" s="27" t="s">
        <v>1361</v>
      </c>
      <c r="B366" s="28" t="str">
        <f t="shared" si="0"/>
        <v>Anita</v>
      </c>
      <c r="C366" s="27" t="s">
        <v>198</v>
      </c>
      <c r="D366" s="27" t="s">
        <v>2569</v>
      </c>
      <c r="E366" s="28" t="str">
        <f t="shared" si="1"/>
        <v>Gil</v>
      </c>
      <c r="F366" s="28" t="str">
        <f t="shared" si="2"/>
        <v>Anita Gil</v>
      </c>
      <c r="G366" s="27" t="s">
        <v>200</v>
      </c>
      <c r="H366" s="27" t="str">
        <f t="shared" si="3"/>
        <v>Female</v>
      </c>
      <c r="I366" s="27" t="s">
        <v>2570</v>
      </c>
      <c r="J366" s="27" t="s">
        <v>642</v>
      </c>
      <c r="K366" s="27" t="s">
        <v>272</v>
      </c>
      <c r="L366" s="27">
        <v>13202</v>
      </c>
      <c r="M366" s="28" t="str">
        <f t="shared" si="4"/>
        <v>3542 Saint Marys Avenue, Syracuse, NY, 13202</v>
      </c>
      <c r="N366" s="27" t="s">
        <v>2571</v>
      </c>
      <c r="O366" s="27" t="s">
        <v>2572</v>
      </c>
      <c r="P366" s="28">
        <v>315</v>
      </c>
      <c r="Q366" s="28">
        <v>856</v>
      </c>
      <c r="R366" s="28">
        <v>9029</v>
      </c>
      <c r="S366" s="29" t="s">
        <v>2573</v>
      </c>
      <c r="T366" s="28">
        <v>6875</v>
      </c>
    </row>
    <row r="367" spans="1:20" ht="14.25" customHeight="1">
      <c r="A367" s="27" t="s">
        <v>829</v>
      </c>
      <c r="B367" s="28" t="str">
        <f t="shared" si="0"/>
        <v>Eduardo</v>
      </c>
      <c r="C367" s="27" t="s">
        <v>465</v>
      </c>
      <c r="D367" s="27" t="s">
        <v>2574</v>
      </c>
      <c r="E367" s="28" t="str">
        <f t="shared" si="1"/>
        <v>Kenney</v>
      </c>
      <c r="F367" s="28" t="str">
        <f t="shared" si="2"/>
        <v>Eduardo Kenney</v>
      </c>
      <c r="G367" s="27" t="s">
        <v>210</v>
      </c>
      <c r="H367" s="27" t="str">
        <f t="shared" si="3"/>
        <v>Male</v>
      </c>
      <c r="I367" s="27" t="s">
        <v>2575</v>
      </c>
      <c r="J367" s="27" t="s">
        <v>2576</v>
      </c>
      <c r="K367" s="27" t="s">
        <v>433</v>
      </c>
      <c r="L367" s="27">
        <v>2146</v>
      </c>
      <c r="M367" s="28" t="str">
        <f t="shared" si="4"/>
        <v>1364 Rainy Day Drive, Brookline, MA, 2146</v>
      </c>
      <c r="N367" s="27" t="s">
        <v>2577</v>
      </c>
      <c r="O367" s="27" t="s">
        <v>2578</v>
      </c>
      <c r="P367" s="28">
        <v>617</v>
      </c>
      <c r="Q367" s="28">
        <v>975</v>
      </c>
      <c r="R367" s="28">
        <v>4477</v>
      </c>
      <c r="S367" s="29" t="s">
        <v>2579</v>
      </c>
      <c r="T367" s="28">
        <v>902</v>
      </c>
    </row>
    <row r="368" spans="1:20" ht="14.25" customHeight="1">
      <c r="A368" s="27" t="s">
        <v>2580</v>
      </c>
      <c r="B368" s="28" t="str">
        <f t="shared" si="0"/>
        <v>Timothy</v>
      </c>
      <c r="C368" s="27" t="s">
        <v>465</v>
      </c>
      <c r="D368" s="27" t="s">
        <v>2581</v>
      </c>
      <c r="E368" s="28" t="str">
        <f t="shared" si="1"/>
        <v>Osorio</v>
      </c>
      <c r="F368" s="28" t="str">
        <f t="shared" si="2"/>
        <v>Timothy Osorio</v>
      </c>
      <c r="G368" s="27" t="s">
        <v>210</v>
      </c>
      <c r="H368" s="27" t="str">
        <f t="shared" si="3"/>
        <v>Male</v>
      </c>
      <c r="I368" s="27" t="s">
        <v>2582</v>
      </c>
      <c r="J368" s="27" t="s">
        <v>2583</v>
      </c>
      <c r="K368" s="27" t="s">
        <v>230</v>
      </c>
      <c r="L368" s="27">
        <v>23607</v>
      </c>
      <c r="M368" s="28" t="str">
        <f t="shared" si="4"/>
        <v>1366 Allison Avenue, Newport News, VA, 23607</v>
      </c>
      <c r="N368" s="27" t="s">
        <v>2584</v>
      </c>
      <c r="O368" s="27" t="s">
        <v>2585</v>
      </c>
      <c r="P368" s="28">
        <v>757</v>
      </c>
      <c r="Q368" s="28">
        <v>575</v>
      </c>
      <c r="R368" s="28">
        <v>7593</v>
      </c>
      <c r="S368" s="29" t="s">
        <v>2586</v>
      </c>
      <c r="T368" s="28">
        <v>568</v>
      </c>
    </row>
    <row r="369" spans="1:20" ht="14.25" customHeight="1">
      <c r="A369" s="27" t="s">
        <v>2587</v>
      </c>
      <c r="B369" s="28" t="str">
        <f t="shared" si="0"/>
        <v>Rose</v>
      </c>
      <c r="C369" s="27" t="s">
        <v>235</v>
      </c>
      <c r="D369" s="27" t="s">
        <v>2588</v>
      </c>
      <c r="E369" s="28" t="str">
        <f t="shared" si="1"/>
        <v>Saenz</v>
      </c>
      <c r="F369" s="28" t="str">
        <f t="shared" si="2"/>
        <v>Rose Saenz</v>
      </c>
      <c r="G369" s="27" t="s">
        <v>200</v>
      </c>
      <c r="H369" s="27" t="str">
        <f t="shared" si="3"/>
        <v>Female</v>
      </c>
      <c r="I369" s="27" t="s">
        <v>2589</v>
      </c>
      <c r="J369" s="27" t="s">
        <v>279</v>
      </c>
      <c r="K369" s="27" t="s">
        <v>272</v>
      </c>
      <c r="L369" s="27">
        <v>12207</v>
      </c>
      <c r="M369" s="28" t="str">
        <f t="shared" si="4"/>
        <v>3620 Joes Road, Albany, NY, 12207</v>
      </c>
      <c r="N369" s="27" t="s">
        <v>2590</v>
      </c>
      <c r="O369" s="27" t="s">
        <v>2591</v>
      </c>
      <c r="P369" s="28">
        <v>518</v>
      </c>
      <c r="Q369" s="28">
        <v>752</v>
      </c>
      <c r="R369" s="28">
        <v>8401</v>
      </c>
      <c r="S369" s="29" t="s">
        <v>2592</v>
      </c>
      <c r="T369" s="28">
        <v>1221</v>
      </c>
    </row>
    <row r="370" spans="1:20" ht="14.25" customHeight="1">
      <c r="A370" s="27" t="s">
        <v>1083</v>
      </c>
      <c r="B370" s="28" t="str">
        <f t="shared" si="0"/>
        <v>Christopher</v>
      </c>
      <c r="C370" s="27" t="s">
        <v>334</v>
      </c>
      <c r="D370" s="27" t="s">
        <v>2593</v>
      </c>
      <c r="E370" s="28" t="str">
        <f t="shared" si="1"/>
        <v>Polk</v>
      </c>
      <c r="F370" s="28" t="str">
        <f t="shared" si="2"/>
        <v>Christopher Polk</v>
      </c>
      <c r="G370" s="27" t="s">
        <v>210</v>
      </c>
      <c r="H370" s="27" t="str">
        <f t="shared" si="3"/>
        <v>Male</v>
      </c>
      <c r="I370" s="27" t="s">
        <v>2594</v>
      </c>
      <c r="J370" s="27" t="s">
        <v>2595</v>
      </c>
      <c r="K370" s="27" t="s">
        <v>1188</v>
      </c>
      <c r="L370" s="27">
        <v>29720</v>
      </c>
      <c r="M370" s="28" t="str">
        <f t="shared" si="4"/>
        <v>508 Wexford Way, Lancaster, SC, 29720</v>
      </c>
      <c r="N370" s="27" t="s">
        <v>2596</v>
      </c>
      <c r="O370" s="27" t="s">
        <v>2597</v>
      </c>
      <c r="P370" s="28">
        <v>803</v>
      </c>
      <c r="Q370" s="28">
        <v>273</v>
      </c>
      <c r="R370" s="28">
        <v>3808</v>
      </c>
      <c r="S370" s="29" t="s">
        <v>2598</v>
      </c>
      <c r="T370" s="28">
        <v>877</v>
      </c>
    </row>
    <row r="371" spans="1:20" ht="14.25" customHeight="1">
      <c r="A371" s="27" t="s">
        <v>2599</v>
      </c>
      <c r="B371" s="28" t="str">
        <f t="shared" si="0"/>
        <v>Alvin</v>
      </c>
      <c r="C371" s="27" t="s">
        <v>208</v>
      </c>
      <c r="D371" s="27" t="s">
        <v>2600</v>
      </c>
      <c r="E371" s="28" t="str">
        <f t="shared" si="1"/>
        <v>Pruett</v>
      </c>
      <c r="F371" s="28" t="str">
        <f t="shared" si="2"/>
        <v>Alvin Pruett</v>
      </c>
      <c r="G371" s="27" t="s">
        <v>210</v>
      </c>
      <c r="H371" s="27" t="str">
        <f t="shared" si="3"/>
        <v>Male</v>
      </c>
      <c r="I371" s="27" t="s">
        <v>2601</v>
      </c>
      <c r="J371" s="27" t="s">
        <v>2602</v>
      </c>
      <c r="K371" s="27" t="s">
        <v>1522</v>
      </c>
      <c r="L371" s="27">
        <v>59644</v>
      </c>
      <c r="M371" s="28" t="str">
        <f t="shared" si="4"/>
        <v>4360 Richison Drive, Townsend, MT, 59644</v>
      </c>
      <c r="N371" s="27" t="s">
        <v>2603</v>
      </c>
      <c r="O371" s="27" t="s">
        <v>2604</v>
      </c>
      <c r="P371" s="28">
        <v>406</v>
      </c>
      <c r="Q371" s="28">
        <v>266</v>
      </c>
      <c r="R371" s="28">
        <v>4315</v>
      </c>
      <c r="S371" s="29" t="s">
        <v>2605</v>
      </c>
      <c r="T371" s="28">
        <v>492</v>
      </c>
    </row>
    <row r="372" spans="1:20" ht="14.25" customHeight="1">
      <c r="A372" s="27" t="s">
        <v>822</v>
      </c>
      <c r="B372" s="28" t="str">
        <f t="shared" si="0"/>
        <v>Michael</v>
      </c>
      <c r="C372" s="27" t="s">
        <v>208</v>
      </c>
      <c r="D372" s="27" t="s">
        <v>1206</v>
      </c>
      <c r="E372" s="28" t="str">
        <f t="shared" si="1"/>
        <v>Hughes</v>
      </c>
      <c r="F372" s="28" t="str">
        <f t="shared" si="2"/>
        <v>Michael Hughes</v>
      </c>
      <c r="G372" s="27" t="s">
        <v>210</v>
      </c>
      <c r="H372" s="27" t="str">
        <f t="shared" si="3"/>
        <v>Male</v>
      </c>
      <c r="I372" s="27" t="s">
        <v>2606</v>
      </c>
      <c r="J372" s="27" t="s">
        <v>2607</v>
      </c>
      <c r="K372" s="27" t="s">
        <v>368</v>
      </c>
      <c r="L372" s="27">
        <v>33178</v>
      </c>
      <c r="M372" s="28" t="str">
        <f t="shared" si="4"/>
        <v>1425 Golden Street, Doral, FL, 33178</v>
      </c>
      <c r="N372" s="27" t="s">
        <v>2608</v>
      </c>
      <c r="O372" s="27" t="s">
        <v>2609</v>
      </c>
      <c r="P372" s="28">
        <v>305</v>
      </c>
      <c r="Q372" s="28">
        <v>697</v>
      </c>
      <c r="R372" s="28">
        <v>3467</v>
      </c>
      <c r="S372" s="29" t="s">
        <v>2610</v>
      </c>
      <c r="T372" s="28">
        <v>5346</v>
      </c>
    </row>
    <row r="373" spans="1:20" ht="14.25" customHeight="1">
      <c r="A373" s="27" t="s">
        <v>1549</v>
      </c>
      <c r="B373" s="28" t="str">
        <f t="shared" si="0"/>
        <v>Darryl</v>
      </c>
      <c r="C373" s="27" t="s">
        <v>226</v>
      </c>
      <c r="D373" s="27" t="s">
        <v>2611</v>
      </c>
      <c r="E373" s="28" t="str">
        <f t="shared" si="1"/>
        <v>Kim</v>
      </c>
      <c r="F373" s="28" t="str">
        <f t="shared" si="2"/>
        <v>Darryl Kim</v>
      </c>
      <c r="G373" s="27" t="s">
        <v>210</v>
      </c>
      <c r="H373" s="27" t="str">
        <f t="shared" si="3"/>
        <v>Male</v>
      </c>
      <c r="I373" s="27" t="s">
        <v>2612</v>
      </c>
      <c r="J373" s="27" t="s">
        <v>2560</v>
      </c>
      <c r="K373" s="27" t="s">
        <v>203</v>
      </c>
      <c r="L373" s="27">
        <v>60527</v>
      </c>
      <c r="M373" s="28" t="str">
        <f t="shared" si="4"/>
        <v>220 Bingamon Branch Road, Burr Ridge, IL, 60527</v>
      </c>
      <c r="N373" s="27" t="s">
        <v>2613</v>
      </c>
      <c r="O373" s="27" t="s">
        <v>2614</v>
      </c>
      <c r="P373" s="28">
        <v>847</v>
      </c>
      <c r="Q373" s="28">
        <v>225</v>
      </c>
      <c r="R373" s="28">
        <v>1558</v>
      </c>
      <c r="S373" s="29" t="s">
        <v>2615</v>
      </c>
      <c r="T373" s="28">
        <v>5101</v>
      </c>
    </row>
    <row r="374" spans="1:20" ht="14.25" customHeight="1">
      <c r="A374" s="27" t="s">
        <v>2289</v>
      </c>
      <c r="B374" s="28" t="str">
        <f t="shared" si="0"/>
        <v>Lee</v>
      </c>
      <c r="C374" s="27" t="s">
        <v>198</v>
      </c>
      <c r="D374" s="27" t="s">
        <v>2616</v>
      </c>
      <c r="E374" s="28" t="str">
        <f t="shared" si="1"/>
        <v>Lefebre</v>
      </c>
      <c r="F374" s="28" t="str">
        <f t="shared" si="2"/>
        <v>Lee Lefebre</v>
      </c>
      <c r="G374" s="27" t="s">
        <v>210</v>
      </c>
      <c r="H374" s="27" t="str">
        <f t="shared" si="3"/>
        <v>Male</v>
      </c>
      <c r="I374" s="27" t="s">
        <v>2617</v>
      </c>
      <c r="J374" s="27" t="s">
        <v>1026</v>
      </c>
      <c r="K374" s="27" t="s">
        <v>1587</v>
      </c>
      <c r="L374" s="27">
        <v>19146</v>
      </c>
      <c r="M374" s="28" t="str">
        <f t="shared" si="4"/>
        <v>979 Columbia Road, Philadelphia, DE, 19146</v>
      </c>
      <c r="N374" s="27" t="s">
        <v>2618</v>
      </c>
      <c r="O374" s="27" t="s">
        <v>2619</v>
      </c>
      <c r="P374" s="28">
        <v>302</v>
      </c>
      <c r="Q374" s="28">
        <v>930</v>
      </c>
      <c r="R374" s="28">
        <v>4106</v>
      </c>
      <c r="S374" s="29" t="s">
        <v>2620</v>
      </c>
      <c r="T374" s="28">
        <v>867</v>
      </c>
    </row>
    <row r="375" spans="1:20" ht="14.25" customHeight="1">
      <c r="A375" s="27" t="s">
        <v>2621</v>
      </c>
      <c r="B375" s="28" t="str">
        <f t="shared" si="0"/>
        <v>Latricia</v>
      </c>
      <c r="C375" s="27" t="s">
        <v>235</v>
      </c>
      <c r="D375" s="27" t="s">
        <v>2622</v>
      </c>
      <c r="E375" s="28" t="str">
        <f t="shared" si="1"/>
        <v>Cox</v>
      </c>
      <c r="F375" s="28" t="str">
        <f t="shared" si="2"/>
        <v>Latricia Cox</v>
      </c>
      <c r="G375" s="27" t="s">
        <v>200</v>
      </c>
      <c r="H375" s="27" t="str">
        <f t="shared" si="3"/>
        <v>Female</v>
      </c>
      <c r="I375" s="27" t="s">
        <v>2623</v>
      </c>
      <c r="J375" s="27" t="s">
        <v>1325</v>
      </c>
      <c r="K375" s="27" t="s">
        <v>272</v>
      </c>
      <c r="L375" s="27">
        <v>10005</v>
      </c>
      <c r="M375" s="28" t="str">
        <f t="shared" si="4"/>
        <v>95 Southern Street, New York, NY, 10005</v>
      </c>
      <c r="N375" s="27" t="s">
        <v>2624</v>
      </c>
      <c r="O375" s="27" t="s">
        <v>2625</v>
      </c>
      <c r="P375" s="28">
        <v>516</v>
      </c>
      <c r="Q375" s="28">
        <v>620</v>
      </c>
      <c r="R375" s="28">
        <v>5799</v>
      </c>
      <c r="S375" s="29" t="s">
        <v>2626</v>
      </c>
      <c r="T375" s="28">
        <v>254</v>
      </c>
    </row>
    <row r="376" spans="1:20" ht="14.25" customHeight="1">
      <c r="A376" s="27" t="s">
        <v>639</v>
      </c>
      <c r="B376" s="28" t="str">
        <f t="shared" si="0"/>
        <v>David</v>
      </c>
      <c r="C376" s="27" t="s">
        <v>226</v>
      </c>
      <c r="D376" s="27" t="s">
        <v>2627</v>
      </c>
      <c r="E376" s="28" t="str">
        <f t="shared" si="1"/>
        <v>Harding</v>
      </c>
      <c r="F376" s="28" t="str">
        <f t="shared" si="2"/>
        <v>David Harding</v>
      </c>
      <c r="G376" s="27" t="s">
        <v>210</v>
      </c>
      <c r="H376" s="27" t="str">
        <f t="shared" si="3"/>
        <v>Male</v>
      </c>
      <c r="I376" s="27" t="s">
        <v>2628</v>
      </c>
      <c r="J376" s="27" t="s">
        <v>2629</v>
      </c>
      <c r="K376" s="27" t="s">
        <v>203</v>
      </c>
      <c r="L376" s="27">
        <v>60091</v>
      </c>
      <c r="M376" s="28" t="str">
        <f t="shared" si="4"/>
        <v>2699 Bingamon Branch Road, Wilmette, IL, 60091</v>
      </c>
      <c r="N376" s="27" t="s">
        <v>2630</v>
      </c>
      <c r="O376" s="27" t="s">
        <v>2631</v>
      </c>
      <c r="P376" s="28">
        <v>847</v>
      </c>
      <c r="Q376" s="28">
        <v>256</v>
      </c>
      <c r="R376" s="28">
        <v>4606</v>
      </c>
      <c r="S376" s="29" t="s">
        <v>2632</v>
      </c>
      <c r="T376" s="28">
        <v>4218</v>
      </c>
    </row>
    <row r="377" spans="1:20" ht="14.25" customHeight="1">
      <c r="A377" s="27" t="s">
        <v>372</v>
      </c>
      <c r="B377" s="28" t="str">
        <f t="shared" si="0"/>
        <v>Patrick</v>
      </c>
      <c r="C377" s="27" t="s">
        <v>198</v>
      </c>
      <c r="D377" s="27" t="s">
        <v>2633</v>
      </c>
      <c r="E377" s="28" t="str">
        <f t="shared" si="1"/>
        <v>Lovett</v>
      </c>
      <c r="F377" s="28" t="str">
        <f t="shared" si="2"/>
        <v>Patrick Lovett</v>
      </c>
      <c r="G377" s="27" t="s">
        <v>210</v>
      </c>
      <c r="H377" s="27" t="str">
        <f t="shared" si="3"/>
        <v>Male</v>
      </c>
      <c r="I377" s="27" t="s">
        <v>2634</v>
      </c>
      <c r="J377" s="27" t="s">
        <v>2635</v>
      </c>
      <c r="K377" s="27" t="s">
        <v>256</v>
      </c>
      <c r="L377" s="27">
        <v>75088</v>
      </c>
      <c r="M377" s="28" t="str">
        <f t="shared" si="4"/>
        <v>438 Wilson Avenue, Rowlett, TX, 75088</v>
      </c>
      <c r="N377" s="27" t="s">
        <v>2636</v>
      </c>
      <c r="O377" s="27" t="s">
        <v>2637</v>
      </c>
      <c r="P377" s="28">
        <v>972</v>
      </c>
      <c r="Q377" s="28">
        <v>463</v>
      </c>
      <c r="R377" s="28">
        <v>1136</v>
      </c>
      <c r="S377" s="29" t="s">
        <v>2638</v>
      </c>
      <c r="T377" s="28">
        <v>958</v>
      </c>
    </row>
    <row r="378" spans="1:20" ht="14.25" customHeight="1">
      <c r="A378" s="27" t="s">
        <v>1855</v>
      </c>
      <c r="B378" s="28" t="str">
        <f t="shared" si="0"/>
        <v>Frank</v>
      </c>
      <c r="C378" s="27" t="s">
        <v>317</v>
      </c>
      <c r="D378" s="27" t="s">
        <v>663</v>
      </c>
      <c r="E378" s="28" t="str">
        <f t="shared" si="1"/>
        <v>Clark</v>
      </c>
      <c r="F378" s="28" t="str">
        <f t="shared" si="2"/>
        <v>Frank Clark</v>
      </c>
      <c r="G378" s="27" t="s">
        <v>210</v>
      </c>
      <c r="H378" s="27" t="str">
        <f t="shared" si="3"/>
        <v>Male</v>
      </c>
      <c r="I378" s="27" t="s">
        <v>2639</v>
      </c>
      <c r="J378" s="27" t="s">
        <v>2640</v>
      </c>
      <c r="K378" s="27" t="s">
        <v>581</v>
      </c>
      <c r="L378" s="27">
        <v>20014</v>
      </c>
      <c r="M378" s="28" t="str">
        <f t="shared" si="4"/>
        <v>2966 Doe Meadow Drive, Bethesda, MD, 20014</v>
      </c>
      <c r="N378" s="27" t="s">
        <v>2641</v>
      </c>
      <c r="O378" s="27" t="s">
        <v>2642</v>
      </c>
      <c r="P378" s="28">
        <v>301</v>
      </c>
      <c r="Q378" s="28">
        <v>564</v>
      </c>
      <c r="R378" s="28">
        <v>7600</v>
      </c>
      <c r="S378" s="29" t="s">
        <v>2643</v>
      </c>
      <c r="T378" s="28">
        <v>5543</v>
      </c>
    </row>
    <row r="379" spans="1:20" ht="14.25" customHeight="1">
      <c r="A379" s="27" t="s">
        <v>1962</v>
      </c>
      <c r="B379" s="28" t="str">
        <f t="shared" si="0"/>
        <v>Chester</v>
      </c>
      <c r="C379" s="27" t="s">
        <v>208</v>
      </c>
      <c r="D379" s="27" t="s">
        <v>310</v>
      </c>
      <c r="E379" s="28" t="str">
        <f t="shared" si="1"/>
        <v>Smith</v>
      </c>
      <c r="F379" s="28" t="str">
        <f t="shared" si="2"/>
        <v>Chester Smith</v>
      </c>
      <c r="G379" s="27" t="s">
        <v>210</v>
      </c>
      <c r="H379" s="27" t="str">
        <f t="shared" si="3"/>
        <v>Male</v>
      </c>
      <c r="I379" s="27" t="s">
        <v>2644</v>
      </c>
      <c r="J379" s="27" t="s">
        <v>2645</v>
      </c>
      <c r="K379" s="27" t="s">
        <v>203</v>
      </c>
      <c r="L379" s="27">
        <v>60191</v>
      </c>
      <c r="M379" s="28" t="str">
        <f t="shared" si="4"/>
        <v>1696 Thomas Street, Wood Dale, IL, 60191</v>
      </c>
      <c r="N379" s="27" t="s">
        <v>2646</v>
      </c>
      <c r="O379" s="27" t="s">
        <v>2647</v>
      </c>
      <c r="P379" s="28">
        <v>847</v>
      </c>
      <c r="Q379" s="28">
        <v>481</v>
      </c>
      <c r="R379" s="28">
        <v>7950</v>
      </c>
      <c r="S379" s="29" t="s">
        <v>2648</v>
      </c>
      <c r="T379" s="28">
        <v>892</v>
      </c>
    </row>
    <row r="380" spans="1:20" ht="14.25" customHeight="1">
      <c r="A380" s="27" t="s">
        <v>1437</v>
      </c>
      <c r="B380" s="28" t="str">
        <f t="shared" si="0"/>
        <v>William</v>
      </c>
      <c r="C380" s="27" t="s">
        <v>198</v>
      </c>
      <c r="D380" s="27" t="s">
        <v>2649</v>
      </c>
      <c r="E380" s="28" t="str">
        <f t="shared" si="1"/>
        <v>Park</v>
      </c>
      <c r="F380" s="28" t="str">
        <f t="shared" si="2"/>
        <v>William Park</v>
      </c>
      <c r="G380" s="27" t="s">
        <v>210</v>
      </c>
      <c r="H380" s="27" t="str">
        <f t="shared" si="3"/>
        <v>Male</v>
      </c>
      <c r="I380" s="27" t="s">
        <v>2650</v>
      </c>
      <c r="J380" s="27" t="s">
        <v>2651</v>
      </c>
      <c r="K380" s="27" t="s">
        <v>1800</v>
      </c>
      <c r="L380" s="27">
        <v>6510</v>
      </c>
      <c r="M380" s="28" t="str">
        <f t="shared" si="4"/>
        <v>3429 School Street, New Haven, CT, 6510</v>
      </c>
      <c r="N380" s="27" t="s">
        <v>2652</v>
      </c>
      <c r="O380" s="27" t="s">
        <v>2653</v>
      </c>
      <c r="P380" s="28">
        <v>203</v>
      </c>
      <c r="Q380" s="28">
        <v>764</v>
      </c>
      <c r="R380" s="28">
        <v>5301</v>
      </c>
      <c r="S380" s="29" t="s">
        <v>2654</v>
      </c>
      <c r="T380" s="28">
        <v>225</v>
      </c>
    </row>
    <row r="381" spans="1:20" ht="14.25" customHeight="1">
      <c r="A381" s="27" t="s">
        <v>2655</v>
      </c>
      <c r="B381" s="28" t="str">
        <f t="shared" si="0"/>
        <v>Andrew</v>
      </c>
      <c r="C381" s="27" t="s">
        <v>284</v>
      </c>
      <c r="D381" s="27" t="s">
        <v>2656</v>
      </c>
      <c r="E381" s="28" t="str">
        <f t="shared" si="1"/>
        <v>Hunter</v>
      </c>
      <c r="F381" s="28" t="str">
        <f t="shared" si="2"/>
        <v>Andrew Hunter</v>
      </c>
      <c r="G381" s="27" t="s">
        <v>210</v>
      </c>
      <c r="H381" s="27" t="str">
        <f t="shared" si="3"/>
        <v>Male</v>
      </c>
      <c r="I381" s="27" t="s">
        <v>2657</v>
      </c>
      <c r="J381" s="27" t="s">
        <v>1325</v>
      </c>
      <c r="K381" s="27" t="s">
        <v>272</v>
      </c>
      <c r="L381" s="27">
        <v>10023</v>
      </c>
      <c r="M381" s="28" t="str">
        <f t="shared" si="4"/>
        <v>4114 Godfrey Road, New York, NY, 10023</v>
      </c>
      <c r="N381" s="27" t="s">
        <v>2658</v>
      </c>
      <c r="O381" s="27" t="s">
        <v>2659</v>
      </c>
      <c r="P381" s="28">
        <v>212</v>
      </c>
      <c r="Q381" s="28">
        <v>496</v>
      </c>
      <c r="R381" s="28">
        <v>4350</v>
      </c>
      <c r="S381" s="29" t="s">
        <v>2660</v>
      </c>
      <c r="T381" s="28">
        <v>1865</v>
      </c>
    </row>
    <row r="382" spans="1:20" ht="14.25" customHeight="1">
      <c r="A382" s="27" t="s">
        <v>2661</v>
      </c>
      <c r="B382" s="28" t="str">
        <f t="shared" si="0"/>
        <v>Ricky</v>
      </c>
      <c r="C382" s="27" t="s">
        <v>334</v>
      </c>
      <c r="D382" s="27" t="s">
        <v>2662</v>
      </c>
      <c r="E382" s="28" t="str">
        <f t="shared" si="1"/>
        <v>Shields</v>
      </c>
      <c r="F382" s="28" t="str">
        <f t="shared" si="2"/>
        <v>Ricky Shields</v>
      </c>
      <c r="G382" s="27" t="s">
        <v>210</v>
      </c>
      <c r="H382" s="27" t="str">
        <f t="shared" si="3"/>
        <v>Male</v>
      </c>
      <c r="I382" s="27" t="s">
        <v>2663</v>
      </c>
      <c r="J382" s="27" t="s">
        <v>1101</v>
      </c>
      <c r="K382" s="27" t="s">
        <v>213</v>
      </c>
      <c r="L382" s="27">
        <v>92704</v>
      </c>
      <c r="M382" s="28" t="str">
        <f t="shared" si="4"/>
        <v>4461 Liberty Avenue, Santa Ana, CA, 92704</v>
      </c>
      <c r="N382" s="27" t="s">
        <v>2664</v>
      </c>
      <c r="O382" s="27" t="s">
        <v>2665</v>
      </c>
      <c r="P382" s="28">
        <v>714</v>
      </c>
      <c r="Q382" s="28">
        <v>431</v>
      </c>
      <c r="R382" s="28">
        <v>2249</v>
      </c>
      <c r="S382" s="29" t="s">
        <v>2666</v>
      </c>
      <c r="T382" s="28">
        <v>1306</v>
      </c>
    </row>
    <row r="383" spans="1:20" ht="14.25" customHeight="1">
      <c r="A383" s="27" t="s">
        <v>1921</v>
      </c>
      <c r="B383" s="28" t="str">
        <f t="shared" si="0"/>
        <v>Bobby</v>
      </c>
      <c r="C383" s="27" t="s">
        <v>226</v>
      </c>
      <c r="D383" s="27" t="s">
        <v>2667</v>
      </c>
      <c r="E383" s="28" t="str">
        <f t="shared" si="1"/>
        <v>Wells</v>
      </c>
      <c r="F383" s="28" t="str">
        <f t="shared" si="2"/>
        <v>Bobby Wells</v>
      </c>
      <c r="G383" s="27" t="s">
        <v>210</v>
      </c>
      <c r="H383" s="27" t="str">
        <f t="shared" si="3"/>
        <v>Male</v>
      </c>
      <c r="I383" s="27" t="s">
        <v>2668</v>
      </c>
      <c r="J383" s="27" t="s">
        <v>2669</v>
      </c>
      <c r="K383" s="27" t="s">
        <v>684</v>
      </c>
      <c r="L383" s="27">
        <v>46350</v>
      </c>
      <c r="M383" s="28" t="str">
        <f t="shared" si="4"/>
        <v>1364 Duffy Street, Laporte, IN, 46350</v>
      </c>
      <c r="N383" s="27" t="s">
        <v>2670</v>
      </c>
      <c r="O383" s="27" t="s">
        <v>2671</v>
      </c>
      <c r="P383" s="28">
        <v>219</v>
      </c>
      <c r="Q383" s="28">
        <v>851</v>
      </c>
      <c r="R383" s="28">
        <v>2179</v>
      </c>
      <c r="S383" s="29" t="s">
        <v>2672</v>
      </c>
      <c r="T383" s="28">
        <v>663</v>
      </c>
    </row>
    <row r="384" spans="1:20" ht="14.25" customHeight="1">
      <c r="A384" s="27" t="s">
        <v>2673</v>
      </c>
      <c r="B384" s="28" t="str">
        <f t="shared" si="0"/>
        <v>Adam</v>
      </c>
      <c r="C384" s="27" t="s">
        <v>438</v>
      </c>
      <c r="D384" s="27" t="s">
        <v>1718</v>
      </c>
      <c r="E384" s="28" t="str">
        <f t="shared" si="1"/>
        <v>White</v>
      </c>
      <c r="F384" s="28" t="str">
        <f t="shared" si="2"/>
        <v>Adam White</v>
      </c>
      <c r="G384" s="27" t="s">
        <v>210</v>
      </c>
      <c r="H384" s="27" t="str">
        <f t="shared" si="3"/>
        <v>Male</v>
      </c>
      <c r="I384" s="27" t="s">
        <v>2674</v>
      </c>
      <c r="J384" s="27" t="s">
        <v>2675</v>
      </c>
      <c r="K384" s="27" t="s">
        <v>698</v>
      </c>
      <c r="L384" s="27">
        <v>38901</v>
      </c>
      <c r="M384" s="28" t="str">
        <f t="shared" si="4"/>
        <v>4626 Oxford Court, Grenada, MS, 38901</v>
      </c>
      <c r="N384" s="27" t="s">
        <v>2676</v>
      </c>
      <c r="O384" s="27" t="s">
        <v>2677</v>
      </c>
      <c r="P384" s="28">
        <v>662</v>
      </c>
      <c r="Q384" s="28">
        <v>229</v>
      </c>
      <c r="R384" s="28">
        <v>2018</v>
      </c>
      <c r="S384" s="29" t="s">
        <v>2678</v>
      </c>
      <c r="T384" s="28">
        <v>309</v>
      </c>
    </row>
    <row r="385" spans="1:20" ht="14.25" customHeight="1">
      <c r="A385" s="27" t="s">
        <v>2302</v>
      </c>
      <c r="B385" s="28" t="str">
        <f t="shared" si="0"/>
        <v>Marshall</v>
      </c>
      <c r="C385" s="27" t="s">
        <v>198</v>
      </c>
      <c r="D385" s="27" t="s">
        <v>2679</v>
      </c>
      <c r="E385" s="28" t="str">
        <f t="shared" si="1"/>
        <v>Hubbard</v>
      </c>
      <c r="F385" s="28" t="str">
        <f t="shared" si="2"/>
        <v>Marshall Hubbard</v>
      </c>
      <c r="G385" s="27" t="s">
        <v>210</v>
      </c>
      <c r="H385" s="27" t="str">
        <f t="shared" si="3"/>
        <v>Male</v>
      </c>
      <c r="I385" s="27" t="s">
        <v>2680</v>
      </c>
      <c r="J385" s="27" t="s">
        <v>2034</v>
      </c>
      <c r="K385" s="27" t="s">
        <v>272</v>
      </c>
      <c r="L385" s="27">
        <v>11530</v>
      </c>
      <c r="M385" s="28" t="str">
        <f t="shared" si="4"/>
        <v>1846 Wayback Lane, Garden City, NY, 11530</v>
      </c>
      <c r="N385" s="27" t="s">
        <v>2681</v>
      </c>
      <c r="O385" s="27" t="s">
        <v>2682</v>
      </c>
      <c r="P385" s="28">
        <v>631</v>
      </c>
      <c r="Q385" s="28">
        <v>433</v>
      </c>
      <c r="R385" s="28">
        <v>2627</v>
      </c>
      <c r="S385" s="29" t="s">
        <v>2683</v>
      </c>
      <c r="T385" s="28">
        <v>208</v>
      </c>
    </row>
    <row r="386" spans="1:20" ht="14.25" customHeight="1">
      <c r="A386" s="27" t="s">
        <v>357</v>
      </c>
      <c r="B386" s="28" t="str">
        <f t="shared" si="0"/>
        <v>James</v>
      </c>
      <c r="C386" s="27" t="s">
        <v>198</v>
      </c>
      <c r="D386" s="27" t="s">
        <v>1989</v>
      </c>
      <c r="E386" s="28" t="str">
        <f t="shared" si="1"/>
        <v>Perry</v>
      </c>
      <c r="F386" s="28" t="str">
        <f t="shared" si="2"/>
        <v>James Perry</v>
      </c>
      <c r="G386" s="27" t="s">
        <v>210</v>
      </c>
      <c r="H386" s="27" t="str">
        <f t="shared" si="3"/>
        <v>Male</v>
      </c>
      <c r="I386" s="27" t="s">
        <v>2684</v>
      </c>
      <c r="J386" s="27" t="s">
        <v>2685</v>
      </c>
      <c r="K386" s="27" t="s">
        <v>203</v>
      </c>
      <c r="L386" s="27">
        <v>62960</v>
      </c>
      <c r="M386" s="28" t="str">
        <f t="shared" si="4"/>
        <v>671 Ross Street, Metropolis, IL, 62960</v>
      </c>
      <c r="N386" s="27" t="s">
        <v>2686</v>
      </c>
      <c r="O386" s="27" t="s">
        <v>2687</v>
      </c>
      <c r="P386" s="28">
        <v>618</v>
      </c>
      <c r="Q386" s="28">
        <v>280</v>
      </c>
      <c r="R386" s="28">
        <v>2545</v>
      </c>
      <c r="S386" s="29" t="s">
        <v>2688</v>
      </c>
      <c r="T386" s="28">
        <v>637</v>
      </c>
    </row>
    <row r="387" spans="1:20" ht="14.25" customHeight="1">
      <c r="A387" s="27" t="s">
        <v>2689</v>
      </c>
      <c r="B387" s="28" t="str">
        <f t="shared" si="0"/>
        <v>Pauline</v>
      </c>
      <c r="C387" s="27" t="s">
        <v>300</v>
      </c>
      <c r="D387" s="27" t="s">
        <v>2690</v>
      </c>
      <c r="E387" s="28" t="str">
        <f t="shared" si="1"/>
        <v>Fisher</v>
      </c>
      <c r="F387" s="28" t="str">
        <f t="shared" si="2"/>
        <v>Pauline Fisher</v>
      </c>
      <c r="G387" s="27" t="s">
        <v>200</v>
      </c>
      <c r="H387" s="27" t="str">
        <f t="shared" si="3"/>
        <v>Female</v>
      </c>
      <c r="I387" s="27" t="s">
        <v>2691</v>
      </c>
      <c r="J387" s="27" t="s">
        <v>2692</v>
      </c>
      <c r="K387" s="27" t="s">
        <v>376</v>
      </c>
      <c r="L387" s="27">
        <v>68715</v>
      </c>
      <c r="M387" s="28" t="str">
        <f t="shared" si="4"/>
        <v>2642 Snowbird Lane, Battle Creek, NE, 68715</v>
      </c>
      <c r="N387" s="27" t="s">
        <v>2693</v>
      </c>
      <c r="O387" s="27" t="s">
        <v>2694</v>
      </c>
      <c r="P387" s="28">
        <v>402</v>
      </c>
      <c r="Q387" s="28">
        <v>675</v>
      </c>
      <c r="R387" s="28">
        <v>2093</v>
      </c>
      <c r="S387" s="29" t="s">
        <v>2695</v>
      </c>
      <c r="T387" s="28">
        <v>633</v>
      </c>
    </row>
    <row r="388" spans="1:20" ht="14.25" customHeight="1">
      <c r="A388" s="27" t="s">
        <v>639</v>
      </c>
      <c r="B388" s="28" t="str">
        <f t="shared" si="0"/>
        <v>David</v>
      </c>
      <c r="C388" s="27" t="s">
        <v>198</v>
      </c>
      <c r="D388" s="27" t="s">
        <v>2696</v>
      </c>
      <c r="E388" s="28" t="str">
        <f t="shared" si="1"/>
        <v>Wilson</v>
      </c>
      <c r="F388" s="28" t="str">
        <f t="shared" si="2"/>
        <v>David Wilson</v>
      </c>
      <c r="G388" s="27" t="s">
        <v>210</v>
      </c>
      <c r="H388" s="27" t="str">
        <f t="shared" si="3"/>
        <v>Male</v>
      </c>
      <c r="I388" s="27" t="s">
        <v>2697</v>
      </c>
      <c r="J388" s="27" t="s">
        <v>1133</v>
      </c>
      <c r="K388" s="27" t="s">
        <v>368</v>
      </c>
      <c r="L388" s="27">
        <v>33306</v>
      </c>
      <c r="M388" s="28" t="str">
        <f t="shared" si="4"/>
        <v>3742 Kenwood Place, Fort Lauderdale, FL, 33306</v>
      </c>
      <c r="N388" s="27" t="s">
        <v>2698</v>
      </c>
      <c r="O388" s="27" t="s">
        <v>2699</v>
      </c>
      <c r="P388" s="28">
        <v>954</v>
      </c>
      <c r="Q388" s="28">
        <v>538</v>
      </c>
      <c r="R388" s="28">
        <v>7145</v>
      </c>
      <c r="S388" s="29" t="s">
        <v>2700</v>
      </c>
      <c r="T388" s="28">
        <v>4363</v>
      </c>
    </row>
    <row r="389" spans="1:20" ht="14.25" customHeight="1">
      <c r="A389" s="27" t="s">
        <v>2611</v>
      </c>
      <c r="B389" s="28" t="str">
        <f t="shared" si="0"/>
        <v>Kim</v>
      </c>
      <c r="C389" s="27" t="s">
        <v>429</v>
      </c>
      <c r="D389" s="27" t="s">
        <v>2701</v>
      </c>
      <c r="E389" s="28" t="str">
        <f t="shared" si="1"/>
        <v>Hines</v>
      </c>
      <c r="F389" s="28" t="str">
        <f t="shared" si="2"/>
        <v>Kim Hines</v>
      </c>
      <c r="G389" s="27" t="s">
        <v>200</v>
      </c>
      <c r="H389" s="27" t="str">
        <f t="shared" si="3"/>
        <v>Female</v>
      </c>
      <c r="I389" s="27" t="s">
        <v>2702</v>
      </c>
      <c r="J389" s="27" t="s">
        <v>1477</v>
      </c>
      <c r="K389" s="27" t="s">
        <v>368</v>
      </c>
      <c r="L389" s="27">
        <v>33624</v>
      </c>
      <c r="M389" s="28" t="str">
        <f t="shared" si="4"/>
        <v>2312 Marion Drive, Tampa, FL, 33624</v>
      </c>
      <c r="N389" s="27" t="s">
        <v>2703</v>
      </c>
      <c r="O389" s="27" t="s">
        <v>2704</v>
      </c>
      <c r="P389" s="28">
        <v>813</v>
      </c>
      <c r="Q389" s="28">
        <v>435</v>
      </c>
      <c r="R389" s="28">
        <v>8079</v>
      </c>
      <c r="S389" s="29" t="s">
        <v>2705</v>
      </c>
      <c r="T389" s="28">
        <v>36</v>
      </c>
    </row>
    <row r="390" spans="1:20" ht="14.25" customHeight="1">
      <c r="A390" s="27" t="s">
        <v>2706</v>
      </c>
      <c r="B390" s="28" t="str">
        <f t="shared" si="0"/>
        <v>Louise</v>
      </c>
      <c r="C390" s="27" t="s">
        <v>309</v>
      </c>
      <c r="D390" s="27" t="s">
        <v>2707</v>
      </c>
      <c r="E390" s="28" t="str">
        <f t="shared" si="1"/>
        <v>Benner</v>
      </c>
      <c r="F390" s="28" t="str">
        <f t="shared" si="2"/>
        <v>Louise Benner</v>
      </c>
      <c r="G390" s="27" t="s">
        <v>200</v>
      </c>
      <c r="H390" s="27" t="str">
        <f t="shared" si="3"/>
        <v>Female</v>
      </c>
      <c r="I390" s="27" t="s">
        <v>2708</v>
      </c>
      <c r="J390" s="27" t="s">
        <v>1793</v>
      </c>
      <c r="K390" s="27" t="s">
        <v>239</v>
      </c>
      <c r="L390" s="27">
        <v>70601</v>
      </c>
      <c r="M390" s="28" t="str">
        <f t="shared" si="4"/>
        <v>2872 Sarah Drive, Lake Charles, LA, 70601</v>
      </c>
      <c r="N390" s="27" t="s">
        <v>2709</v>
      </c>
      <c r="O390" s="27" t="s">
        <v>2710</v>
      </c>
      <c r="P390" s="28">
        <v>337</v>
      </c>
      <c r="Q390" s="28">
        <v>430</v>
      </c>
      <c r="R390" s="28">
        <v>3692</v>
      </c>
      <c r="S390" s="29" t="s">
        <v>2711</v>
      </c>
      <c r="T390" s="28">
        <v>9915</v>
      </c>
    </row>
    <row r="391" spans="1:20" ht="14.25" customHeight="1">
      <c r="A391" s="27" t="s">
        <v>2712</v>
      </c>
      <c r="B391" s="28" t="str">
        <f t="shared" si="0"/>
        <v>Garry</v>
      </c>
      <c r="C391" s="27" t="s">
        <v>198</v>
      </c>
      <c r="D391" s="27" t="s">
        <v>2713</v>
      </c>
      <c r="E391" s="28" t="str">
        <f t="shared" si="1"/>
        <v>Pannell</v>
      </c>
      <c r="F391" s="28" t="str">
        <f t="shared" si="2"/>
        <v>Garry Pannell</v>
      </c>
      <c r="G391" s="27" t="s">
        <v>210</v>
      </c>
      <c r="H391" s="27" t="str">
        <f t="shared" si="3"/>
        <v>Male</v>
      </c>
      <c r="I391" s="27" t="s">
        <v>2714</v>
      </c>
      <c r="J391" s="27" t="s">
        <v>2715</v>
      </c>
      <c r="K391" s="27" t="s">
        <v>469</v>
      </c>
      <c r="L391" s="27">
        <v>45801</v>
      </c>
      <c r="M391" s="28" t="str">
        <f t="shared" si="4"/>
        <v>1757 Upland Avenue, Lima, OH, 45801</v>
      </c>
      <c r="N391" s="27" t="s">
        <v>2716</v>
      </c>
      <c r="O391" s="27" t="s">
        <v>2717</v>
      </c>
      <c r="P391" s="28">
        <v>419</v>
      </c>
      <c r="Q391" s="28">
        <v>860</v>
      </c>
      <c r="R391" s="28">
        <v>5124</v>
      </c>
      <c r="S391" s="29" t="s">
        <v>2718</v>
      </c>
      <c r="T391" s="28">
        <v>1094</v>
      </c>
    </row>
    <row r="392" spans="1:20" ht="14.25" customHeight="1">
      <c r="A392" s="27" t="s">
        <v>1437</v>
      </c>
      <c r="B392" s="28" t="str">
        <f t="shared" si="0"/>
        <v>William</v>
      </c>
      <c r="C392" s="27" t="s">
        <v>300</v>
      </c>
      <c r="D392" s="27" t="s">
        <v>2611</v>
      </c>
      <c r="E392" s="28" t="str">
        <f t="shared" si="1"/>
        <v>Kim</v>
      </c>
      <c r="F392" s="28" t="str">
        <f t="shared" si="2"/>
        <v>William Kim</v>
      </c>
      <c r="G392" s="27" t="s">
        <v>210</v>
      </c>
      <c r="H392" s="27" t="str">
        <f t="shared" si="3"/>
        <v>Male</v>
      </c>
      <c r="I392" s="27" t="s">
        <v>2719</v>
      </c>
      <c r="J392" s="27" t="s">
        <v>567</v>
      </c>
      <c r="K392" s="27" t="s">
        <v>433</v>
      </c>
      <c r="L392" s="27">
        <v>2141</v>
      </c>
      <c r="M392" s="28" t="str">
        <f t="shared" si="4"/>
        <v>4352 Russell Street, Cambridge, MA, 2141</v>
      </c>
      <c r="N392" s="27" t="s">
        <v>2720</v>
      </c>
      <c r="O392" s="27" t="s">
        <v>2721</v>
      </c>
      <c r="P392" s="28">
        <v>978</v>
      </c>
      <c r="Q392" s="28">
        <v>965</v>
      </c>
      <c r="R392" s="28">
        <v>4662</v>
      </c>
      <c r="S392" s="29" t="s">
        <v>2722</v>
      </c>
      <c r="T392" s="28">
        <v>853</v>
      </c>
    </row>
    <row r="393" spans="1:20" ht="14.25" customHeight="1">
      <c r="A393" s="27" t="s">
        <v>2723</v>
      </c>
      <c r="B393" s="28" t="str">
        <f t="shared" si="0"/>
        <v>Joyce</v>
      </c>
      <c r="C393" s="27" t="s">
        <v>226</v>
      </c>
      <c r="D393" s="27" t="s">
        <v>2724</v>
      </c>
      <c r="E393" s="28" t="str">
        <f t="shared" si="1"/>
        <v>Millard</v>
      </c>
      <c r="F393" s="28" t="str">
        <f t="shared" si="2"/>
        <v>Joyce Millard</v>
      </c>
      <c r="G393" s="27" t="s">
        <v>200</v>
      </c>
      <c r="H393" s="27" t="str">
        <f t="shared" si="3"/>
        <v>Female</v>
      </c>
      <c r="I393" s="27" t="s">
        <v>2725</v>
      </c>
      <c r="J393" s="27" t="s">
        <v>2117</v>
      </c>
      <c r="K393" s="27" t="s">
        <v>213</v>
      </c>
      <c r="L393" s="27">
        <v>95826</v>
      </c>
      <c r="M393" s="28" t="str">
        <f t="shared" si="4"/>
        <v>4105 Frederick Street, Sacramento, CA, 95826</v>
      </c>
      <c r="N393" s="27" t="s">
        <v>2726</v>
      </c>
      <c r="O393" s="27" t="s">
        <v>2727</v>
      </c>
      <c r="P393" s="28">
        <v>916</v>
      </c>
      <c r="Q393" s="28">
        <v>276</v>
      </c>
      <c r="R393" s="28">
        <v>4694</v>
      </c>
      <c r="S393" s="29" t="s">
        <v>2728</v>
      </c>
      <c r="T393" s="28">
        <v>998</v>
      </c>
    </row>
    <row r="394" spans="1:20" ht="14.25" customHeight="1">
      <c r="A394" s="27" t="s">
        <v>217</v>
      </c>
      <c r="B394" s="28" t="str">
        <f t="shared" si="0"/>
        <v>Susan</v>
      </c>
      <c r="C394" s="27" t="s">
        <v>208</v>
      </c>
      <c r="D394" s="27" t="s">
        <v>2729</v>
      </c>
      <c r="E394" s="28" t="str">
        <f t="shared" si="1"/>
        <v>Valentine</v>
      </c>
      <c r="F394" s="28" t="str">
        <f t="shared" si="2"/>
        <v>Susan Valentine</v>
      </c>
      <c r="G394" s="27" t="s">
        <v>200</v>
      </c>
      <c r="H394" s="27" t="str">
        <f t="shared" si="3"/>
        <v>Female</v>
      </c>
      <c r="I394" s="27" t="s">
        <v>2730</v>
      </c>
      <c r="J394" s="27" t="s">
        <v>2731</v>
      </c>
      <c r="K394" s="27" t="s">
        <v>581</v>
      </c>
      <c r="L394" s="27">
        <v>21136</v>
      </c>
      <c r="M394" s="28" t="str">
        <f t="shared" si="4"/>
        <v>2064 Marie Street, Reisterstown, MD, 21136</v>
      </c>
      <c r="N394" s="27" t="s">
        <v>2732</v>
      </c>
      <c r="O394" s="27" t="s">
        <v>2733</v>
      </c>
      <c r="P394" s="28">
        <v>410</v>
      </c>
      <c r="Q394" s="28">
        <v>861</v>
      </c>
      <c r="R394" s="28">
        <v>1596</v>
      </c>
      <c r="S394" s="29" t="s">
        <v>2734</v>
      </c>
      <c r="T394" s="28">
        <v>8580</v>
      </c>
    </row>
    <row r="395" spans="1:20" ht="14.25" customHeight="1">
      <c r="A395" s="27" t="s">
        <v>989</v>
      </c>
      <c r="B395" s="28" t="str">
        <f t="shared" si="0"/>
        <v>Charles</v>
      </c>
      <c r="C395" s="27" t="s">
        <v>226</v>
      </c>
      <c r="D395" s="27" t="s">
        <v>1192</v>
      </c>
      <c r="E395" s="28" t="str">
        <f t="shared" si="1"/>
        <v>Roberts</v>
      </c>
      <c r="F395" s="28" t="str">
        <f t="shared" si="2"/>
        <v>Charles Roberts</v>
      </c>
      <c r="G395" s="27" t="s">
        <v>210</v>
      </c>
      <c r="H395" s="27" t="str">
        <f t="shared" si="3"/>
        <v>Male</v>
      </c>
      <c r="I395" s="27" t="s">
        <v>2735</v>
      </c>
      <c r="J395" s="27" t="s">
        <v>1713</v>
      </c>
      <c r="K395" s="27" t="s">
        <v>1714</v>
      </c>
      <c r="L395" s="27">
        <v>89109</v>
      </c>
      <c r="M395" s="28" t="str">
        <f t="shared" si="4"/>
        <v>283 Hickory Ridge Drive, Las Vegas, NV, 89109</v>
      </c>
      <c r="N395" s="27" t="s">
        <v>2736</v>
      </c>
      <c r="O395" s="27" t="s">
        <v>2737</v>
      </c>
      <c r="P395" s="28">
        <v>702</v>
      </c>
      <c r="Q395" s="28">
        <v>691</v>
      </c>
      <c r="R395" s="28">
        <v>7861</v>
      </c>
      <c r="S395" s="29" t="s">
        <v>2738</v>
      </c>
      <c r="T395" s="28">
        <v>906</v>
      </c>
    </row>
    <row r="396" spans="1:20" ht="14.25" customHeight="1">
      <c r="A396" s="27" t="s">
        <v>2739</v>
      </c>
      <c r="B396" s="28" t="str">
        <f t="shared" si="0"/>
        <v>Carlos</v>
      </c>
      <c r="C396" s="27" t="s">
        <v>226</v>
      </c>
      <c r="D396" s="27" t="s">
        <v>2740</v>
      </c>
      <c r="E396" s="28" t="str">
        <f t="shared" si="1"/>
        <v>Na</v>
      </c>
      <c r="F396" s="28" t="str">
        <f t="shared" si="2"/>
        <v>Carlos Na</v>
      </c>
      <c r="G396" s="27" t="s">
        <v>210</v>
      </c>
      <c r="H396" s="27" t="str">
        <f t="shared" si="3"/>
        <v>Male</v>
      </c>
      <c r="I396" s="27" t="s">
        <v>2741</v>
      </c>
      <c r="J396" s="27" t="s">
        <v>2742</v>
      </c>
      <c r="K396" s="27" t="s">
        <v>1188</v>
      </c>
      <c r="L396" s="27">
        <v>29576</v>
      </c>
      <c r="M396" s="28" t="str">
        <f t="shared" si="4"/>
        <v>2290 Khale Street, Murrells Inlet, SC, 29576</v>
      </c>
      <c r="N396" s="27" t="s">
        <v>2743</v>
      </c>
      <c r="O396" s="27" t="s">
        <v>2744</v>
      </c>
      <c r="P396" s="28">
        <v>843</v>
      </c>
      <c r="Q396" s="28">
        <v>652</v>
      </c>
      <c r="R396" s="28">
        <v>1588</v>
      </c>
      <c r="S396" s="29" t="s">
        <v>2745</v>
      </c>
      <c r="T396" s="28">
        <v>301</v>
      </c>
    </row>
    <row r="397" spans="1:20" ht="14.25" customHeight="1">
      <c r="A397" s="27" t="s">
        <v>1785</v>
      </c>
      <c r="B397" s="28" t="str">
        <f t="shared" si="0"/>
        <v>Theresa</v>
      </c>
      <c r="C397" s="27" t="s">
        <v>198</v>
      </c>
      <c r="D397" s="27" t="s">
        <v>519</v>
      </c>
      <c r="E397" s="28" t="str">
        <f t="shared" si="1"/>
        <v>Craig</v>
      </c>
      <c r="F397" s="28" t="str">
        <f t="shared" si="2"/>
        <v>Theresa Craig</v>
      </c>
      <c r="G397" s="27" t="s">
        <v>200</v>
      </c>
      <c r="H397" s="27" t="str">
        <f t="shared" si="3"/>
        <v>Female</v>
      </c>
      <c r="I397" s="27" t="s">
        <v>2746</v>
      </c>
      <c r="J397" s="27" t="s">
        <v>1652</v>
      </c>
      <c r="K397" s="27" t="s">
        <v>650</v>
      </c>
      <c r="L397" s="27">
        <v>73102</v>
      </c>
      <c r="M397" s="28" t="str">
        <f t="shared" si="4"/>
        <v>2374 Luke Lane, Oklahoma City, OK, 73102</v>
      </c>
      <c r="N397" s="27" t="s">
        <v>2747</v>
      </c>
      <c r="O397" s="27" t="s">
        <v>2748</v>
      </c>
      <c r="P397" s="28">
        <v>580</v>
      </c>
      <c r="Q397" s="28">
        <v>284</v>
      </c>
      <c r="R397" s="28">
        <v>2663</v>
      </c>
      <c r="S397" s="29" t="s">
        <v>2749</v>
      </c>
      <c r="T397" s="28">
        <v>679</v>
      </c>
    </row>
    <row r="398" spans="1:20" ht="14.25" customHeight="1">
      <c r="A398" s="27" t="s">
        <v>1692</v>
      </c>
      <c r="B398" s="28" t="str">
        <f t="shared" si="0"/>
        <v>Paul</v>
      </c>
      <c r="C398" s="27" t="s">
        <v>511</v>
      </c>
      <c r="D398" s="27" t="s">
        <v>2750</v>
      </c>
      <c r="E398" s="28" t="str">
        <f t="shared" si="1"/>
        <v>Curtis</v>
      </c>
      <c r="F398" s="28" t="str">
        <f t="shared" si="2"/>
        <v>Paul Curtis</v>
      </c>
      <c r="G398" s="27" t="s">
        <v>210</v>
      </c>
      <c r="H398" s="27" t="str">
        <f t="shared" si="3"/>
        <v>Male</v>
      </c>
      <c r="I398" s="27" t="s">
        <v>2751</v>
      </c>
      <c r="J398" s="27" t="s">
        <v>1652</v>
      </c>
      <c r="K398" s="27" t="s">
        <v>650</v>
      </c>
      <c r="L398" s="27">
        <v>73109</v>
      </c>
      <c r="M398" s="28" t="str">
        <f t="shared" si="4"/>
        <v>3750 Simpson Square, Oklahoma City, OK, 73109</v>
      </c>
      <c r="N398" s="27" t="s">
        <v>2752</v>
      </c>
      <c r="O398" s="27" t="s">
        <v>2753</v>
      </c>
      <c r="P398" s="28">
        <v>580</v>
      </c>
      <c r="Q398" s="28">
        <v>565</v>
      </c>
      <c r="R398" s="28">
        <v>5337</v>
      </c>
      <c r="S398" s="29" t="s">
        <v>2754</v>
      </c>
      <c r="T398" s="28">
        <v>1971</v>
      </c>
    </row>
    <row r="399" spans="1:20" ht="14.25" customHeight="1">
      <c r="A399" s="27" t="s">
        <v>2755</v>
      </c>
      <c r="B399" s="28" t="str">
        <f t="shared" si="0"/>
        <v>Henry</v>
      </c>
      <c r="C399" s="27" t="s">
        <v>350</v>
      </c>
      <c r="D399" s="27" t="s">
        <v>2756</v>
      </c>
      <c r="E399" s="28" t="str">
        <f t="shared" si="1"/>
        <v>Rosenbaum</v>
      </c>
      <c r="F399" s="28" t="str">
        <f t="shared" si="2"/>
        <v>Henry Rosenbaum</v>
      </c>
      <c r="G399" s="27" t="s">
        <v>210</v>
      </c>
      <c r="H399" s="27" t="str">
        <f t="shared" si="3"/>
        <v>Male</v>
      </c>
      <c r="I399" s="27" t="s">
        <v>2757</v>
      </c>
      <c r="J399" s="27" t="s">
        <v>2758</v>
      </c>
      <c r="K399" s="27" t="s">
        <v>221</v>
      </c>
      <c r="L399" s="27">
        <v>7036</v>
      </c>
      <c r="M399" s="28" t="str">
        <f t="shared" si="4"/>
        <v>586 Caynor Circle, Linden, NJ, 7036</v>
      </c>
      <c r="N399" s="27" t="s">
        <v>2759</v>
      </c>
      <c r="O399" s="27" t="s">
        <v>2760</v>
      </c>
      <c r="P399" s="28">
        <v>908</v>
      </c>
      <c r="Q399" s="28">
        <v>474</v>
      </c>
      <c r="R399" s="28">
        <v>4556</v>
      </c>
      <c r="S399" s="29" t="s">
        <v>2761</v>
      </c>
      <c r="T399" s="28">
        <v>389</v>
      </c>
    </row>
    <row r="400" spans="1:20" ht="14.25" customHeight="1">
      <c r="A400" s="27" t="s">
        <v>419</v>
      </c>
      <c r="B400" s="28" t="str">
        <f t="shared" si="0"/>
        <v>Robert</v>
      </c>
      <c r="C400" s="27" t="s">
        <v>300</v>
      </c>
      <c r="D400" s="27" t="s">
        <v>2762</v>
      </c>
      <c r="E400" s="28" t="str">
        <f t="shared" si="1"/>
        <v>Brock</v>
      </c>
      <c r="F400" s="28" t="str">
        <f t="shared" si="2"/>
        <v>Robert Brock</v>
      </c>
      <c r="G400" s="27" t="s">
        <v>210</v>
      </c>
      <c r="H400" s="27" t="str">
        <f t="shared" si="3"/>
        <v>Male</v>
      </c>
      <c r="I400" s="27" t="s">
        <v>2763</v>
      </c>
      <c r="J400" s="27" t="s">
        <v>765</v>
      </c>
      <c r="K400" s="27" t="s">
        <v>221</v>
      </c>
      <c r="L400" s="27">
        <v>8901</v>
      </c>
      <c r="M400" s="28" t="str">
        <f t="shared" si="4"/>
        <v>3374 Finwood Road, New Brunswick, NJ, 8901</v>
      </c>
      <c r="N400" s="27" t="s">
        <v>2764</v>
      </c>
      <c r="O400" s="27" t="s">
        <v>2765</v>
      </c>
      <c r="P400" s="28">
        <v>732</v>
      </c>
      <c r="Q400" s="28">
        <v>480</v>
      </c>
      <c r="R400" s="28">
        <v>7525</v>
      </c>
      <c r="S400" s="29" t="s">
        <v>2766</v>
      </c>
      <c r="T400" s="28">
        <v>8425</v>
      </c>
    </row>
    <row r="401" spans="1:20" ht="14.25" customHeight="1">
      <c r="A401" s="27" t="s">
        <v>2767</v>
      </c>
      <c r="B401" s="28" t="str">
        <f t="shared" si="0"/>
        <v>Janice</v>
      </c>
      <c r="C401" s="27" t="s">
        <v>949</v>
      </c>
      <c r="D401" s="27" t="s">
        <v>2768</v>
      </c>
      <c r="E401" s="28" t="str">
        <f t="shared" si="1"/>
        <v>Krout</v>
      </c>
      <c r="F401" s="28" t="str">
        <f t="shared" si="2"/>
        <v>Janice Krout</v>
      </c>
      <c r="G401" s="27" t="s">
        <v>200</v>
      </c>
      <c r="H401" s="27" t="str">
        <f t="shared" si="3"/>
        <v>Female</v>
      </c>
      <c r="I401" s="27" t="s">
        <v>2769</v>
      </c>
      <c r="J401" s="27" t="s">
        <v>2770</v>
      </c>
      <c r="K401" s="27" t="s">
        <v>213</v>
      </c>
      <c r="L401" s="27">
        <v>95678</v>
      </c>
      <c r="M401" s="28" t="str">
        <f t="shared" si="4"/>
        <v>4966 Highland View Drive, Roseville, CA, 95678</v>
      </c>
      <c r="N401" s="27" t="s">
        <v>2771</v>
      </c>
      <c r="O401" s="27" t="s">
        <v>2772</v>
      </c>
      <c r="P401" s="28">
        <v>916</v>
      </c>
      <c r="Q401" s="28">
        <v>640</v>
      </c>
      <c r="R401" s="28">
        <v>6029</v>
      </c>
      <c r="S401" s="29" t="s">
        <v>2773</v>
      </c>
      <c r="T401" s="28">
        <v>8535</v>
      </c>
    </row>
    <row r="402" spans="1:20" ht="14.25" customHeight="1">
      <c r="A402" s="27" t="s">
        <v>783</v>
      </c>
      <c r="B402" s="28" t="str">
        <f t="shared" si="0"/>
        <v>Mary</v>
      </c>
      <c r="C402" s="27" t="s">
        <v>381</v>
      </c>
      <c r="D402" s="27" t="s">
        <v>2774</v>
      </c>
      <c r="E402" s="28" t="str">
        <f t="shared" si="1"/>
        <v>Pearson</v>
      </c>
      <c r="F402" s="28" t="str">
        <f t="shared" si="2"/>
        <v>Mary Pearson</v>
      </c>
      <c r="G402" s="27" t="s">
        <v>200</v>
      </c>
      <c r="H402" s="27" t="str">
        <f t="shared" si="3"/>
        <v>Female</v>
      </c>
      <c r="I402" s="27" t="s">
        <v>2775</v>
      </c>
      <c r="J402" s="27" t="s">
        <v>2776</v>
      </c>
      <c r="K402" s="27" t="s">
        <v>272</v>
      </c>
      <c r="L402" s="27">
        <v>10952</v>
      </c>
      <c r="M402" s="28" t="str">
        <f t="shared" si="4"/>
        <v>4041 Pallet Street, Monsey, NY, 10952</v>
      </c>
      <c r="N402" s="27" t="s">
        <v>2777</v>
      </c>
      <c r="O402" s="27" t="s">
        <v>2778</v>
      </c>
      <c r="P402" s="28">
        <v>914</v>
      </c>
      <c r="Q402" s="28">
        <v>324</v>
      </c>
      <c r="R402" s="28">
        <v>6344</v>
      </c>
      <c r="S402" s="29" t="s">
        <v>2779</v>
      </c>
      <c r="T402" s="28">
        <v>3624</v>
      </c>
    </row>
    <row r="403" spans="1:20" ht="14.25" customHeight="1">
      <c r="A403" s="27" t="s">
        <v>243</v>
      </c>
      <c r="B403" s="28" t="str">
        <f t="shared" si="0"/>
        <v>Joseph</v>
      </c>
      <c r="C403" s="27" t="s">
        <v>350</v>
      </c>
      <c r="D403" s="27" t="s">
        <v>2780</v>
      </c>
      <c r="E403" s="28" t="str">
        <f t="shared" si="1"/>
        <v>Atkinson</v>
      </c>
      <c r="F403" s="28" t="str">
        <f t="shared" si="2"/>
        <v>Joseph Atkinson</v>
      </c>
      <c r="G403" s="27" t="s">
        <v>210</v>
      </c>
      <c r="H403" s="27" t="str">
        <f t="shared" si="3"/>
        <v>Male</v>
      </c>
      <c r="I403" s="27" t="s">
        <v>2781</v>
      </c>
      <c r="J403" s="27" t="s">
        <v>1611</v>
      </c>
      <c r="K403" s="27" t="s">
        <v>1612</v>
      </c>
      <c r="L403" s="27">
        <v>20004</v>
      </c>
      <c r="M403" s="28" t="str">
        <f t="shared" si="4"/>
        <v>4723 Rhode Island Avenue, Washington, DC, 20004</v>
      </c>
      <c r="N403" s="27" t="s">
        <v>2782</v>
      </c>
      <c r="O403" s="27" t="s">
        <v>2783</v>
      </c>
      <c r="P403" s="28">
        <v>202</v>
      </c>
      <c r="Q403" s="28">
        <v>420</v>
      </c>
      <c r="R403" s="28">
        <v>6111</v>
      </c>
      <c r="S403" s="29" t="s">
        <v>2784</v>
      </c>
      <c r="T403" s="28">
        <v>839</v>
      </c>
    </row>
    <row r="404" spans="1:20" ht="14.25" customHeight="1">
      <c r="A404" s="27" t="s">
        <v>2785</v>
      </c>
      <c r="B404" s="28" t="str">
        <f t="shared" si="0"/>
        <v>Lindsey</v>
      </c>
      <c r="C404" s="27" t="s">
        <v>300</v>
      </c>
      <c r="D404" s="27" t="s">
        <v>244</v>
      </c>
      <c r="E404" s="28" t="str">
        <f t="shared" si="1"/>
        <v>Martinez</v>
      </c>
      <c r="F404" s="28" t="str">
        <f t="shared" si="2"/>
        <v>Lindsey Martinez</v>
      </c>
      <c r="G404" s="27" t="s">
        <v>200</v>
      </c>
      <c r="H404" s="27" t="str">
        <f t="shared" si="3"/>
        <v>Female</v>
      </c>
      <c r="I404" s="27" t="s">
        <v>2786</v>
      </c>
      <c r="J404" s="27" t="s">
        <v>476</v>
      </c>
      <c r="K404" s="27" t="s">
        <v>256</v>
      </c>
      <c r="L404" s="27">
        <v>76071</v>
      </c>
      <c r="M404" s="28" t="str">
        <f t="shared" si="4"/>
        <v>3675 Jones Street, Newark, TX, 76071</v>
      </c>
      <c r="N404" s="27" t="s">
        <v>2787</v>
      </c>
      <c r="O404" s="27" t="s">
        <v>2788</v>
      </c>
      <c r="P404" s="28">
        <v>817</v>
      </c>
      <c r="Q404" s="28">
        <v>489</v>
      </c>
      <c r="R404" s="28">
        <v>531</v>
      </c>
      <c r="S404" s="29" t="s">
        <v>2789</v>
      </c>
      <c r="T404" s="28">
        <v>8995</v>
      </c>
    </row>
    <row r="405" spans="1:20" ht="14.25" customHeight="1">
      <c r="A405" s="27" t="s">
        <v>2790</v>
      </c>
      <c r="B405" s="28" t="str">
        <f t="shared" si="0"/>
        <v>Tyler</v>
      </c>
      <c r="C405" s="27" t="s">
        <v>381</v>
      </c>
      <c r="D405" s="27" t="s">
        <v>2791</v>
      </c>
      <c r="E405" s="28" t="str">
        <f t="shared" si="1"/>
        <v>Dejesus</v>
      </c>
      <c r="F405" s="28" t="str">
        <f t="shared" si="2"/>
        <v>Tyler Dejesus</v>
      </c>
      <c r="G405" s="27" t="s">
        <v>210</v>
      </c>
      <c r="H405" s="27" t="str">
        <f t="shared" si="3"/>
        <v>Male</v>
      </c>
      <c r="I405" s="27" t="s">
        <v>2792</v>
      </c>
      <c r="J405" s="27" t="s">
        <v>1708</v>
      </c>
      <c r="K405" s="27" t="s">
        <v>1039</v>
      </c>
      <c r="L405" s="27">
        <v>98161</v>
      </c>
      <c r="M405" s="28" t="str">
        <f t="shared" si="4"/>
        <v>4128 Boone Crockett Lane, Seattle, WA, 98161</v>
      </c>
      <c r="N405" s="27" t="s">
        <v>2793</v>
      </c>
      <c r="O405" s="27" t="s">
        <v>2794</v>
      </c>
      <c r="P405" s="28">
        <v>360</v>
      </c>
      <c r="Q405" s="28">
        <v>481</v>
      </c>
      <c r="R405" s="28">
        <v>3112</v>
      </c>
      <c r="S405" s="29" t="s">
        <v>2795</v>
      </c>
      <c r="T405" s="28">
        <v>7327</v>
      </c>
    </row>
    <row r="406" spans="1:20" ht="14.25" customHeight="1">
      <c r="A406" s="27" t="s">
        <v>2796</v>
      </c>
      <c r="B406" s="28" t="str">
        <f t="shared" si="0"/>
        <v>Melody</v>
      </c>
      <c r="C406" s="27" t="s">
        <v>226</v>
      </c>
      <c r="D406" s="27" t="s">
        <v>1277</v>
      </c>
      <c r="E406" s="28" t="str">
        <f t="shared" si="1"/>
        <v>Nelson</v>
      </c>
      <c r="F406" s="28" t="str">
        <f t="shared" si="2"/>
        <v>Melody Nelson</v>
      </c>
      <c r="G406" s="27" t="s">
        <v>200</v>
      </c>
      <c r="H406" s="27" t="str">
        <f t="shared" si="3"/>
        <v>Female</v>
      </c>
      <c r="I406" s="27" t="s">
        <v>2797</v>
      </c>
      <c r="J406" s="27" t="s">
        <v>2798</v>
      </c>
      <c r="K406" s="27" t="s">
        <v>203</v>
      </c>
      <c r="L406" s="27">
        <v>62543</v>
      </c>
      <c r="M406" s="28" t="str">
        <f t="shared" si="4"/>
        <v>757 Scenic Way, Latham, IL, 62543</v>
      </c>
      <c r="N406" s="27" t="s">
        <v>2799</v>
      </c>
      <c r="O406" s="27" t="s">
        <v>2800</v>
      </c>
      <c r="P406" s="28">
        <v>217</v>
      </c>
      <c r="Q406" s="28">
        <v>674</v>
      </c>
      <c r="R406" s="28">
        <v>4591</v>
      </c>
      <c r="S406" s="29" t="s">
        <v>2801</v>
      </c>
      <c r="T406" s="28">
        <v>8985</v>
      </c>
    </row>
    <row r="407" spans="1:20" ht="14.25" customHeight="1">
      <c r="A407" s="27" t="s">
        <v>464</v>
      </c>
      <c r="B407" s="28" t="str">
        <f t="shared" si="0"/>
        <v>Paula</v>
      </c>
      <c r="C407" s="27" t="s">
        <v>429</v>
      </c>
      <c r="D407" s="27" t="s">
        <v>2802</v>
      </c>
      <c r="E407" s="28" t="str">
        <f t="shared" si="1"/>
        <v>Madden</v>
      </c>
      <c r="F407" s="28" t="str">
        <f t="shared" si="2"/>
        <v>Paula Madden</v>
      </c>
      <c r="G407" s="27" t="s">
        <v>200</v>
      </c>
      <c r="H407" s="27" t="str">
        <f t="shared" si="3"/>
        <v>Female</v>
      </c>
      <c r="I407" s="27" t="s">
        <v>2803</v>
      </c>
      <c r="J407" s="27" t="s">
        <v>400</v>
      </c>
      <c r="K407" s="27" t="s">
        <v>213</v>
      </c>
      <c r="L407" s="27">
        <v>90017</v>
      </c>
      <c r="M407" s="28" t="str">
        <f t="shared" si="4"/>
        <v>4731 Murphy Court, Los Angeles, CA, 90017</v>
      </c>
      <c r="N407" s="27" t="s">
        <v>2804</v>
      </c>
      <c r="O407" s="27" t="s">
        <v>2805</v>
      </c>
      <c r="P407" s="28">
        <v>951</v>
      </c>
      <c r="Q407" s="28">
        <v>801</v>
      </c>
      <c r="R407" s="28">
        <v>7659</v>
      </c>
      <c r="S407" s="29" t="s">
        <v>2806</v>
      </c>
      <c r="T407" s="28">
        <v>856</v>
      </c>
    </row>
    <row r="408" spans="1:20" ht="14.25" customHeight="1">
      <c r="A408" s="27" t="s">
        <v>419</v>
      </c>
      <c r="B408" s="28" t="str">
        <f t="shared" si="0"/>
        <v>Robert</v>
      </c>
      <c r="C408" s="27" t="s">
        <v>235</v>
      </c>
      <c r="D408" s="27" t="s">
        <v>2807</v>
      </c>
      <c r="E408" s="28" t="str">
        <f t="shared" si="1"/>
        <v>Weber</v>
      </c>
      <c r="F408" s="28" t="str">
        <f t="shared" si="2"/>
        <v>Robert Weber</v>
      </c>
      <c r="G408" s="27" t="s">
        <v>210</v>
      </c>
      <c r="H408" s="27" t="str">
        <f t="shared" si="3"/>
        <v>Male</v>
      </c>
      <c r="I408" s="27" t="s">
        <v>2808</v>
      </c>
      <c r="J408" s="27" t="s">
        <v>2395</v>
      </c>
      <c r="K408" s="27" t="s">
        <v>272</v>
      </c>
      <c r="L408" s="27">
        <v>10573</v>
      </c>
      <c r="M408" s="28" t="str">
        <f t="shared" si="4"/>
        <v>385 Ward Road, Port Chester, NY, 10573</v>
      </c>
      <c r="N408" s="27" t="s">
        <v>2809</v>
      </c>
      <c r="O408" s="27" t="s">
        <v>2810</v>
      </c>
      <c r="P408" s="28">
        <v>914</v>
      </c>
      <c r="Q408" s="28">
        <v>937</v>
      </c>
      <c r="R408" s="28">
        <v>4898</v>
      </c>
      <c r="S408" s="29" t="s">
        <v>2811</v>
      </c>
      <c r="T408" s="28">
        <v>923</v>
      </c>
    </row>
    <row r="409" spans="1:20" ht="14.25" customHeight="1">
      <c r="A409" s="27" t="s">
        <v>325</v>
      </c>
      <c r="B409" s="28" t="str">
        <f t="shared" si="0"/>
        <v>Mark</v>
      </c>
      <c r="C409" s="27" t="s">
        <v>511</v>
      </c>
      <c r="D409" s="27" t="s">
        <v>2812</v>
      </c>
      <c r="E409" s="28" t="str">
        <f t="shared" si="1"/>
        <v>Monroe</v>
      </c>
      <c r="F409" s="28" t="str">
        <f t="shared" si="2"/>
        <v>Mark Monroe</v>
      </c>
      <c r="G409" s="27" t="s">
        <v>210</v>
      </c>
      <c r="H409" s="27" t="str">
        <f t="shared" si="3"/>
        <v>Male</v>
      </c>
      <c r="I409" s="27" t="s">
        <v>2813</v>
      </c>
      <c r="J409" s="27" t="s">
        <v>608</v>
      </c>
      <c r="K409" s="27" t="s">
        <v>609</v>
      </c>
      <c r="L409" s="27">
        <v>80202</v>
      </c>
      <c r="M409" s="28" t="str">
        <f t="shared" si="4"/>
        <v>3535 McKinley Avenue, Denver, CO, 80202</v>
      </c>
      <c r="N409" s="27" t="s">
        <v>2814</v>
      </c>
      <c r="O409" s="27" t="s">
        <v>2815</v>
      </c>
      <c r="P409" s="28">
        <v>303</v>
      </c>
      <c r="Q409" s="28">
        <v>848</v>
      </c>
      <c r="R409" s="28">
        <v>9860</v>
      </c>
      <c r="S409" s="29" t="s">
        <v>2816</v>
      </c>
      <c r="T409" s="28">
        <v>271</v>
      </c>
    </row>
    <row r="410" spans="1:20" ht="14.25" customHeight="1">
      <c r="A410" s="27" t="s">
        <v>2587</v>
      </c>
      <c r="B410" s="28" t="str">
        <f t="shared" si="0"/>
        <v>Rose</v>
      </c>
      <c r="C410" s="27" t="s">
        <v>350</v>
      </c>
      <c r="D410" s="27" t="s">
        <v>2385</v>
      </c>
      <c r="E410" s="28" t="str">
        <f t="shared" si="1"/>
        <v>Glenn</v>
      </c>
      <c r="F410" s="28" t="str">
        <f t="shared" si="2"/>
        <v>Rose Glenn</v>
      </c>
      <c r="G410" s="27" t="s">
        <v>200</v>
      </c>
      <c r="H410" s="27" t="str">
        <f t="shared" si="3"/>
        <v>Female</v>
      </c>
      <c r="I410" s="27" t="s">
        <v>2817</v>
      </c>
      <c r="J410" s="27" t="s">
        <v>2818</v>
      </c>
      <c r="K410" s="27" t="s">
        <v>272</v>
      </c>
      <c r="L410" s="27">
        <v>13901</v>
      </c>
      <c r="M410" s="28" t="str">
        <f t="shared" si="4"/>
        <v>3643 Hinkle Deegan Lake Road, Binghamton, NY, 13901</v>
      </c>
      <c r="N410" s="27" t="s">
        <v>2819</v>
      </c>
      <c r="O410" s="27" t="s">
        <v>2820</v>
      </c>
      <c r="P410" s="28">
        <v>607</v>
      </c>
      <c r="Q410" s="28">
        <v>210</v>
      </c>
      <c r="R410" s="28">
        <v>4364</v>
      </c>
      <c r="S410" s="29" t="s">
        <v>2821</v>
      </c>
      <c r="T410" s="28">
        <v>4358</v>
      </c>
    </row>
    <row r="411" spans="1:20" ht="14.25" customHeight="1">
      <c r="A411" s="27" t="s">
        <v>2822</v>
      </c>
      <c r="B411" s="28" t="str">
        <f t="shared" si="0"/>
        <v>Sidney</v>
      </c>
      <c r="C411" s="27" t="s">
        <v>300</v>
      </c>
      <c r="D411" s="27" t="s">
        <v>599</v>
      </c>
      <c r="E411" s="28" t="str">
        <f t="shared" si="1"/>
        <v>Williams</v>
      </c>
      <c r="F411" s="28" t="str">
        <f t="shared" si="2"/>
        <v>Sidney Williams</v>
      </c>
      <c r="G411" s="27" t="s">
        <v>210</v>
      </c>
      <c r="H411" s="27" t="str">
        <f t="shared" si="3"/>
        <v>Male</v>
      </c>
      <c r="I411" s="27" t="s">
        <v>2823</v>
      </c>
      <c r="J411" s="27" t="s">
        <v>2824</v>
      </c>
      <c r="K411" s="27" t="s">
        <v>698</v>
      </c>
      <c r="L411" s="27">
        <v>39201</v>
      </c>
      <c r="M411" s="28" t="str">
        <f t="shared" si="4"/>
        <v>4292 Tanglewood Road, Jackson, MS, 39201</v>
      </c>
      <c r="N411" s="27" t="s">
        <v>2825</v>
      </c>
      <c r="O411" s="27" t="s">
        <v>2826</v>
      </c>
      <c r="P411" s="28">
        <v>662</v>
      </c>
      <c r="Q411" s="28">
        <v>990</v>
      </c>
      <c r="R411" s="28">
        <v>9028</v>
      </c>
      <c r="S411" s="29" t="s">
        <v>2827</v>
      </c>
      <c r="T411" s="28">
        <v>304</v>
      </c>
    </row>
    <row r="412" spans="1:20" ht="14.25" customHeight="1">
      <c r="A412" s="27" t="s">
        <v>1315</v>
      </c>
      <c r="B412" s="28" t="str">
        <f t="shared" si="0"/>
        <v>Scott</v>
      </c>
      <c r="C412" s="27" t="s">
        <v>198</v>
      </c>
      <c r="D412" s="27" t="s">
        <v>2828</v>
      </c>
      <c r="E412" s="28" t="str">
        <f t="shared" si="1"/>
        <v>Lohr</v>
      </c>
      <c r="F412" s="28" t="str">
        <f t="shared" si="2"/>
        <v>Scott Lohr</v>
      </c>
      <c r="G412" s="27" t="s">
        <v>210</v>
      </c>
      <c r="H412" s="27" t="str">
        <f t="shared" si="3"/>
        <v>Male</v>
      </c>
      <c r="I412" s="27" t="s">
        <v>2829</v>
      </c>
      <c r="J412" s="27" t="s">
        <v>2830</v>
      </c>
      <c r="K412" s="27" t="s">
        <v>203</v>
      </c>
      <c r="L412" s="27">
        <v>61465</v>
      </c>
      <c r="M412" s="28" t="str">
        <f t="shared" si="4"/>
        <v>3016 Garfield Road, New Windsor, IL, 61465</v>
      </c>
      <c r="N412" s="27" t="s">
        <v>2831</v>
      </c>
      <c r="O412" s="27" t="s">
        <v>2832</v>
      </c>
      <c r="P412" s="28">
        <v>309</v>
      </c>
      <c r="Q412" s="28">
        <v>667</v>
      </c>
      <c r="R412" s="28">
        <v>9596</v>
      </c>
      <c r="S412" s="29" t="s">
        <v>2833</v>
      </c>
      <c r="T412" s="28">
        <v>588</v>
      </c>
    </row>
    <row r="413" spans="1:20" ht="14.25" customHeight="1">
      <c r="A413" s="27" t="s">
        <v>2834</v>
      </c>
      <c r="B413" s="28" t="str">
        <f t="shared" si="0"/>
        <v>Latonya</v>
      </c>
      <c r="C413" s="27" t="s">
        <v>334</v>
      </c>
      <c r="D413" s="27" t="s">
        <v>2835</v>
      </c>
      <c r="E413" s="28" t="str">
        <f t="shared" si="1"/>
        <v>Taggart</v>
      </c>
      <c r="F413" s="28" t="str">
        <f t="shared" si="2"/>
        <v>Latonya Taggart</v>
      </c>
      <c r="G413" s="27" t="s">
        <v>200</v>
      </c>
      <c r="H413" s="27" t="str">
        <f t="shared" si="3"/>
        <v>Female</v>
      </c>
      <c r="I413" s="27" t="s">
        <v>2836</v>
      </c>
      <c r="J413" s="27" t="s">
        <v>2837</v>
      </c>
      <c r="K413" s="27" t="s">
        <v>727</v>
      </c>
      <c r="L413" s="27">
        <v>52552</v>
      </c>
      <c r="M413" s="28" t="str">
        <f t="shared" si="4"/>
        <v>3904 Park Boulevard, Drakesville, IA, 52552</v>
      </c>
      <c r="N413" s="27" t="s">
        <v>2838</v>
      </c>
      <c r="O413" s="27" t="s">
        <v>2839</v>
      </c>
      <c r="P413" s="28">
        <v>641</v>
      </c>
      <c r="Q413" s="28">
        <v>722</v>
      </c>
      <c r="R413" s="28">
        <v>2778</v>
      </c>
      <c r="S413" s="29" t="s">
        <v>2840</v>
      </c>
      <c r="T413" s="28">
        <v>2018</v>
      </c>
    </row>
    <row r="414" spans="1:20" ht="14.25" customHeight="1">
      <c r="A414" s="27" t="s">
        <v>822</v>
      </c>
      <c r="B414" s="28" t="str">
        <f t="shared" si="0"/>
        <v>Michael</v>
      </c>
      <c r="C414" s="27" t="s">
        <v>198</v>
      </c>
      <c r="D414" s="27" t="s">
        <v>2841</v>
      </c>
      <c r="E414" s="28" t="str">
        <f t="shared" si="1"/>
        <v>Wendling</v>
      </c>
      <c r="F414" s="28" t="str">
        <f t="shared" si="2"/>
        <v>Michael Wendling</v>
      </c>
      <c r="G414" s="27" t="s">
        <v>210</v>
      </c>
      <c r="H414" s="27" t="str">
        <f t="shared" si="3"/>
        <v>Male</v>
      </c>
      <c r="I414" s="27" t="s">
        <v>2842</v>
      </c>
      <c r="J414" s="27" t="s">
        <v>2843</v>
      </c>
      <c r="K414" s="27" t="s">
        <v>256</v>
      </c>
      <c r="L414" s="27">
        <v>79070</v>
      </c>
      <c r="M414" s="28" t="str">
        <f t="shared" si="4"/>
        <v>2626 Charmaine Lane, Perryton, TX, 79070</v>
      </c>
      <c r="N414" s="27" t="s">
        <v>2844</v>
      </c>
      <c r="O414" s="27" t="s">
        <v>2845</v>
      </c>
      <c r="P414" s="28">
        <v>806</v>
      </c>
      <c r="Q414" s="28">
        <v>434</v>
      </c>
      <c r="R414" s="28">
        <v>1502</v>
      </c>
      <c r="S414" s="29" t="s">
        <v>2846</v>
      </c>
      <c r="T414" s="28">
        <v>809</v>
      </c>
    </row>
    <row r="415" spans="1:20" ht="14.25" customHeight="1">
      <c r="A415" s="27" t="s">
        <v>389</v>
      </c>
      <c r="B415" s="28" t="str">
        <f t="shared" si="0"/>
        <v>Daniel</v>
      </c>
      <c r="C415" s="27" t="s">
        <v>226</v>
      </c>
      <c r="D415" s="27" t="s">
        <v>2847</v>
      </c>
      <c r="E415" s="28" t="str">
        <f t="shared" si="1"/>
        <v>Brister</v>
      </c>
      <c r="F415" s="28" t="str">
        <f t="shared" si="2"/>
        <v>Daniel Brister</v>
      </c>
      <c r="G415" s="27" t="s">
        <v>210</v>
      </c>
      <c r="H415" s="27" t="str">
        <f t="shared" si="3"/>
        <v>Male</v>
      </c>
      <c r="I415" s="27" t="s">
        <v>2848</v>
      </c>
      <c r="J415" s="27" t="s">
        <v>2849</v>
      </c>
      <c r="K415" s="27" t="s">
        <v>1612</v>
      </c>
      <c r="L415" s="27">
        <v>19034</v>
      </c>
      <c r="M415" s="28" t="str">
        <f t="shared" si="4"/>
        <v>232 Hickory Lane, Fort Washington, DC, 19034</v>
      </c>
      <c r="N415" s="27" t="s">
        <v>2850</v>
      </c>
      <c r="O415" s="27" t="s">
        <v>2851</v>
      </c>
      <c r="P415" s="28">
        <v>202</v>
      </c>
      <c r="Q415" s="28">
        <v>470</v>
      </c>
      <c r="R415" s="28">
        <v>8024</v>
      </c>
      <c r="S415" s="29" t="s">
        <v>2852</v>
      </c>
      <c r="T415" s="28">
        <v>266</v>
      </c>
    </row>
    <row r="416" spans="1:20" ht="14.25" customHeight="1">
      <c r="A416" s="27" t="s">
        <v>822</v>
      </c>
      <c r="B416" s="28" t="str">
        <f t="shared" si="0"/>
        <v>Michael</v>
      </c>
      <c r="C416" s="27" t="s">
        <v>949</v>
      </c>
      <c r="D416" s="27" t="s">
        <v>2853</v>
      </c>
      <c r="E416" s="28" t="str">
        <f t="shared" si="1"/>
        <v>Horning</v>
      </c>
      <c r="F416" s="28" t="str">
        <f t="shared" si="2"/>
        <v>Michael Horning</v>
      </c>
      <c r="G416" s="27" t="s">
        <v>210</v>
      </c>
      <c r="H416" s="27" t="str">
        <f t="shared" si="3"/>
        <v>Male</v>
      </c>
      <c r="I416" s="27" t="s">
        <v>2854</v>
      </c>
      <c r="J416" s="27" t="s">
        <v>2855</v>
      </c>
      <c r="K416" s="27" t="s">
        <v>581</v>
      </c>
      <c r="L416" s="27">
        <v>21076</v>
      </c>
      <c r="M416" s="28" t="str">
        <f t="shared" si="4"/>
        <v>1086 Blue Spruce Lane, Hanover, MD, 21076</v>
      </c>
      <c r="N416" s="27" t="s">
        <v>2856</v>
      </c>
      <c r="O416" s="27" t="s">
        <v>2857</v>
      </c>
      <c r="P416" s="28">
        <v>410</v>
      </c>
      <c r="Q416" s="28">
        <v>302</v>
      </c>
      <c r="R416" s="28">
        <v>4255</v>
      </c>
      <c r="S416" s="29" t="s">
        <v>2858</v>
      </c>
      <c r="T416" s="28">
        <v>143</v>
      </c>
    </row>
    <row r="417" spans="1:20" ht="14.25" customHeight="1">
      <c r="A417" s="27" t="s">
        <v>2859</v>
      </c>
      <c r="B417" s="28" t="str">
        <f t="shared" si="0"/>
        <v>Edith</v>
      </c>
      <c r="C417" s="27" t="s">
        <v>198</v>
      </c>
      <c r="D417" s="27" t="s">
        <v>2860</v>
      </c>
      <c r="E417" s="28" t="str">
        <f t="shared" si="1"/>
        <v>Reed</v>
      </c>
      <c r="F417" s="28" t="str">
        <f t="shared" si="2"/>
        <v>Edith Reed</v>
      </c>
      <c r="G417" s="27" t="s">
        <v>200</v>
      </c>
      <c r="H417" s="27" t="str">
        <f t="shared" si="3"/>
        <v>Female</v>
      </c>
      <c r="I417" s="27" t="s">
        <v>2861</v>
      </c>
      <c r="J417" s="27" t="s">
        <v>295</v>
      </c>
      <c r="K417" s="27" t="s">
        <v>256</v>
      </c>
      <c r="L417" s="27">
        <v>75201</v>
      </c>
      <c r="M417" s="28" t="str">
        <f t="shared" si="4"/>
        <v>841 Romines Mill Road, Dallas, TX, 75201</v>
      </c>
      <c r="N417" s="27" t="s">
        <v>2862</v>
      </c>
      <c r="O417" s="27" t="s">
        <v>2863</v>
      </c>
      <c r="P417" s="28">
        <v>214</v>
      </c>
      <c r="Q417" s="28">
        <v>617</v>
      </c>
      <c r="R417" s="28">
        <v>9083</v>
      </c>
      <c r="S417" s="29" t="s">
        <v>2864</v>
      </c>
      <c r="T417" s="28">
        <v>3018</v>
      </c>
    </row>
    <row r="418" spans="1:20" ht="14.25" customHeight="1">
      <c r="A418" s="27" t="s">
        <v>598</v>
      </c>
      <c r="B418" s="28" t="str">
        <f t="shared" si="0"/>
        <v>Victor</v>
      </c>
      <c r="C418" s="27" t="s">
        <v>381</v>
      </c>
      <c r="D418" s="27" t="s">
        <v>703</v>
      </c>
      <c r="E418" s="28" t="str">
        <f t="shared" si="1"/>
        <v>Johnson</v>
      </c>
      <c r="F418" s="28" t="str">
        <f t="shared" si="2"/>
        <v>Victor Johnson</v>
      </c>
      <c r="G418" s="27" t="s">
        <v>210</v>
      </c>
      <c r="H418" s="27" t="str">
        <f t="shared" si="3"/>
        <v>Male</v>
      </c>
      <c r="I418" s="27" t="s">
        <v>2865</v>
      </c>
      <c r="J418" s="27" t="s">
        <v>246</v>
      </c>
      <c r="K418" s="27" t="s">
        <v>247</v>
      </c>
      <c r="L418" s="27">
        <v>97205</v>
      </c>
      <c r="M418" s="28" t="str">
        <f t="shared" si="4"/>
        <v>4515 Illinois Avenue, Portland, OR, 97205</v>
      </c>
      <c r="N418" s="27" t="s">
        <v>2866</v>
      </c>
      <c r="O418" s="27" t="s">
        <v>2867</v>
      </c>
      <c r="P418" s="28">
        <v>503</v>
      </c>
      <c r="Q418" s="28">
        <v>713</v>
      </c>
      <c r="R418" s="28">
        <v>992</v>
      </c>
      <c r="S418" s="29" t="s">
        <v>2868</v>
      </c>
      <c r="T418" s="28">
        <v>990</v>
      </c>
    </row>
    <row r="419" spans="1:20" ht="14.25" customHeight="1">
      <c r="A419" s="27" t="s">
        <v>2869</v>
      </c>
      <c r="B419" s="28" t="str">
        <f t="shared" si="0"/>
        <v>Lydia</v>
      </c>
      <c r="C419" s="27" t="s">
        <v>284</v>
      </c>
      <c r="D419" s="27" t="s">
        <v>2870</v>
      </c>
      <c r="E419" s="28" t="str">
        <f t="shared" si="1"/>
        <v>Amoroso</v>
      </c>
      <c r="F419" s="28" t="str">
        <f t="shared" si="2"/>
        <v>Lydia Amoroso</v>
      </c>
      <c r="G419" s="27" t="s">
        <v>200</v>
      </c>
      <c r="H419" s="27" t="str">
        <f t="shared" si="3"/>
        <v>Female</v>
      </c>
      <c r="I419" s="27" t="s">
        <v>2871</v>
      </c>
      <c r="J419" s="27" t="s">
        <v>229</v>
      </c>
      <c r="K419" s="27" t="s">
        <v>230</v>
      </c>
      <c r="L419" s="27">
        <v>22448</v>
      </c>
      <c r="M419" s="28" t="str">
        <f t="shared" si="4"/>
        <v>3013 White Pine Lane, Dahlgren, VA, 22448</v>
      </c>
      <c r="N419" s="27" t="s">
        <v>2872</v>
      </c>
      <c r="O419" s="27" t="s">
        <v>2873</v>
      </c>
      <c r="P419" s="28">
        <v>540</v>
      </c>
      <c r="Q419" s="28">
        <v>653</v>
      </c>
      <c r="R419" s="28">
        <v>178</v>
      </c>
      <c r="S419" s="29" t="s">
        <v>2874</v>
      </c>
      <c r="T419" s="28">
        <v>7118</v>
      </c>
    </row>
    <row r="420" spans="1:20" ht="14.25" customHeight="1">
      <c r="A420" s="27" t="s">
        <v>2875</v>
      </c>
      <c r="B420" s="28" t="str">
        <f t="shared" si="0"/>
        <v>Ashley</v>
      </c>
      <c r="C420" s="27" t="s">
        <v>235</v>
      </c>
      <c r="D420" s="27" t="s">
        <v>703</v>
      </c>
      <c r="E420" s="28" t="str">
        <f t="shared" si="1"/>
        <v>Johnson</v>
      </c>
      <c r="F420" s="28" t="str">
        <f t="shared" si="2"/>
        <v>Ashley Johnson</v>
      </c>
      <c r="G420" s="27" t="s">
        <v>200</v>
      </c>
      <c r="H420" s="27" t="str">
        <f t="shared" si="3"/>
        <v>Female</v>
      </c>
      <c r="I420" s="27" t="s">
        <v>2876</v>
      </c>
      <c r="J420" s="27" t="s">
        <v>460</v>
      </c>
      <c r="K420" s="27" t="s">
        <v>433</v>
      </c>
      <c r="L420" s="27">
        <v>2110</v>
      </c>
      <c r="M420" s="28" t="str">
        <f t="shared" si="4"/>
        <v>2835 Aspen Court, Boston, MA, 2110</v>
      </c>
      <c r="N420" s="27" t="s">
        <v>2877</v>
      </c>
      <c r="O420" s="27" t="s">
        <v>2878</v>
      </c>
      <c r="P420" s="28">
        <v>617</v>
      </c>
      <c r="Q420" s="28">
        <v>392</v>
      </c>
      <c r="R420" s="28">
        <v>2943</v>
      </c>
      <c r="S420" s="29" t="s">
        <v>2879</v>
      </c>
      <c r="T420" s="28">
        <v>5060</v>
      </c>
    </row>
    <row r="421" spans="1:20" ht="14.25" customHeight="1">
      <c r="A421" s="27" t="s">
        <v>2880</v>
      </c>
      <c r="B421" s="28" t="str">
        <f t="shared" si="0"/>
        <v>Esther</v>
      </c>
      <c r="C421" s="27" t="s">
        <v>511</v>
      </c>
      <c r="D421" s="27" t="s">
        <v>2881</v>
      </c>
      <c r="E421" s="28" t="str">
        <f t="shared" si="1"/>
        <v>Lord</v>
      </c>
      <c r="F421" s="28" t="str">
        <f t="shared" si="2"/>
        <v>Esther Lord</v>
      </c>
      <c r="G421" s="27" t="s">
        <v>200</v>
      </c>
      <c r="H421" s="27" t="str">
        <f t="shared" si="3"/>
        <v>Female</v>
      </c>
      <c r="I421" s="27" t="s">
        <v>2882</v>
      </c>
      <c r="J421" s="27" t="s">
        <v>2883</v>
      </c>
      <c r="K421" s="27" t="s">
        <v>213</v>
      </c>
      <c r="L421" s="27">
        <v>93225</v>
      </c>
      <c r="M421" s="28" t="str">
        <f t="shared" si="4"/>
        <v>657 Williams Avenue, Frazier Park, CA, 93225</v>
      </c>
      <c r="N421" s="27" t="s">
        <v>2884</v>
      </c>
      <c r="O421" s="27" t="s">
        <v>2885</v>
      </c>
      <c r="P421" s="28">
        <v>661</v>
      </c>
      <c r="Q421" s="28">
        <v>245</v>
      </c>
      <c r="R421" s="28">
        <v>5261</v>
      </c>
      <c r="S421" s="29" t="s">
        <v>2886</v>
      </c>
      <c r="T421" s="28">
        <v>35</v>
      </c>
    </row>
    <row r="422" spans="1:20" ht="14.25" customHeight="1">
      <c r="A422" s="27" t="s">
        <v>2526</v>
      </c>
      <c r="B422" s="28" t="str">
        <f t="shared" si="0"/>
        <v>Amelia</v>
      </c>
      <c r="C422" s="27" t="s">
        <v>465</v>
      </c>
      <c r="D422" s="27" t="s">
        <v>1084</v>
      </c>
      <c r="E422" s="28" t="str">
        <f t="shared" si="1"/>
        <v>Lane</v>
      </c>
      <c r="F422" s="28" t="str">
        <f t="shared" si="2"/>
        <v>Amelia Lane</v>
      </c>
      <c r="G422" s="27" t="s">
        <v>200</v>
      </c>
      <c r="H422" s="27" t="str">
        <f t="shared" si="3"/>
        <v>Female</v>
      </c>
      <c r="I422" s="27" t="s">
        <v>2887</v>
      </c>
      <c r="J422" s="27" t="s">
        <v>2888</v>
      </c>
      <c r="K422" s="27" t="s">
        <v>230</v>
      </c>
      <c r="L422" s="27">
        <v>22801</v>
      </c>
      <c r="M422" s="28" t="str">
        <f t="shared" si="4"/>
        <v>1484 White Pine Lane, Harrisonburg, VA, 22801</v>
      </c>
      <c r="N422" s="27" t="s">
        <v>2889</v>
      </c>
      <c r="O422" s="27" t="s">
        <v>2890</v>
      </c>
      <c r="P422" s="28">
        <v>540</v>
      </c>
      <c r="Q422" s="28">
        <v>689</v>
      </c>
      <c r="R422" s="28">
        <v>1022</v>
      </c>
      <c r="S422" s="29" t="s">
        <v>2891</v>
      </c>
      <c r="T422" s="28">
        <v>9086</v>
      </c>
    </row>
    <row r="423" spans="1:20" ht="14.25" customHeight="1">
      <c r="A423" s="27" t="s">
        <v>902</v>
      </c>
      <c r="B423" s="28" t="str">
        <f t="shared" si="0"/>
        <v>Russell</v>
      </c>
      <c r="C423" s="27" t="s">
        <v>300</v>
      </c>
      <c r="D423" s="27" t="s">
        <v>2892</v>
      </c>
      <c r="E423" s="28" t="str">
        <f t="shared" si="1"/>
        <v>Keel</v>
      </c>
      <c r="F423" s="28" t="str">
        <f t="shared" si="2"/>
        <v>Russell Keel</v>
      </c>
      <c r="G423" s="27" t="s">
        <v>210</v>
      </c>
      <c r="H423" s="27" t="str">
        <f t="shared" si="3"/>
        <v>Male</v>
      </c>
      <c r="I423" s="27" t="s">
        <v>2893</v>
      </c>
      <c r="J423" s="27" t="s">
        <v>441</v>
      </c>
      <c r="K423" s="27" t="s">
        <v>424</v>
      </c>
      <c r="L423" s="27">
        <v>28211</v>
      </c>
      <c r="M423" s="28" t="str">
        <f t="shared" si="4"/>
        <v>3245 Harry Place, Charlotte, NC, 28211</v>
      </c>
      <c r="N423" s="27" t="s">
        <v>2894</v>
      </c>
      <c r="O423" s="27" t="s">
        <v>2895</v>
      </c>
      <c r="P423" s="28">
        <v>704</v>
      </c>
      <c r="Q423" s="28">
        <v>770</v>
      </c>
      <c r="R423" s="28">
        <v>4875</v>
      </c>
      <c r="S423" s="29" t="s">
        <v>2896</v>
      </c>
      <c r="T423" s="28">
        <v>8716</v>
      </c>
    </row>
    <row r="424" spans="1:20" ht="14.25" customHeight="1">
      <c r="A424" s="27" t="s">
        <v>419</v>
      </c>
      <c r="B424" s="28" t="str">
        <f t="shared" si="0"/>
        <v>Robert</v>
      </c>
      <c r="C424" s="27" t="s">
        <v>208</v>
      </c>
      <c r="D424" s="27" t="s">
        <v>2897</v>
      </c>
      <c r="E424" s="28" t="str">
        <f t="shared" si="1"/>
        <v>Sparks</v>
      </c>
      <c r="F424" s="28" t="str">
        <f t="shared" si="2"/>
        <v>Robert Sparks</v>
      </c>
      <c r="G424" s="27" t="s">
        <v>210</v>
      </c>
      <c r="H424" s="27" t="str">
        <f t="shared" si="3"/>
        <v>Male</v>
      </c>
      <c r="I424" s="27" t="s">
        <v>2898</v>
      </c>
      <c r="J424" s="27" t="s">
        <v>400</v>
      </c>
      <c r="K424" s="27" t="s">
        <v>213</v>
      </c>
      <c r="L424" s="27">
        <v>90017</v>
      </c>
      <c r="M424" s="28" t="str">
        <f t="shared" si="4"/>
        <v>1564 Bel Meadow Drive, Los Angeles, CA, 90017</v>
      </c>
      <c r="N424" s="27" t="s">
        <v>2899</v>
      </c>
      <c r="O424" s="27" t="s">
        <v>2900</v>
      </c>
      <c r="P424" s="28">
        <v>909</v>
      </c>
      <c r="Q424" s="28">
        <v>309</v>
      </c>
      <c r="R424" s="28">
        <v>5979</v>
      </c>
      <c r="S424" s="29" t="s">
        <v>2901</v>
      </c>
      <c r="T424" s="28">
        <v>7918</v>
      </c>
    </row>
    <row r="425" spans="1:20" ht="14.25" customHeight="1">
      <c r="A425" s="27" t="s">
        <v>2501</v>
      </c>
      <c r="B425" s="28" t="str">
        <f t="shared" si="0"/>
        <v>Andrea</v>
      </c>
      <c r="C425" s="27" t="s">
        <v>235</v>
      </c>
      <c r="D425" s="27" t="s">
        <v>2902</v>
      </c>
      <c r="E425" s="28" t="str">
        <f t="shared" si="1"/>
        <v>Flinn</v>
      </c>
      <c r="F425" s="28" t="str">
        <f t="shared" si="2"/>
        <v>Andrea Flinn</v>
      </c>
      <c r="G425" s="27" t="s">
        <v>200</v>
      </c>
      <c r="H425" s="27" t="str">
        <f t="shared" si="3"/>
        <v>Female</v>
      </c>
      <c r="I425" s="27" t="s">
        <v>2903</v>
      </c>
      <c r="J425" s="27" t="s">
        <v>2904</v>
      </c>
      <c r="K425" s="27" t="s">
        <v>239</v>
      </c>
      <c r="L425" s="27">
        <v>70001</v>
      </c>
      <c r="M425" s="28" t="str">
        <f t="shared" si="4"/>
        <v>706 Shadowmar Drive, Metairie, LA, 70001</v>
      </c>
      <c r="N425" s="27" t="s">
        <v>2905</v>
      </c>
      <c r="O425" s="27" t="s">
        <v>2906</v>
      </c>
      <c r="P425" s="28">
        <v>504</v>
      </c>
      <c r="Q425" s="28">
        <v>832</v>
      </c>
      <c r="R425" s="28">
        <v>3602</v>
      </c>
      <c r="S425" s="29" t="s">
        <v>2907</v>
      </c>
      <c r="T425" s="28">
        <v>800</v>
      </c>
    </row>
    <row r="426" spans="1:20" ht="14.25" customHeight="1">
      <c r="A426" s="27" t="s">
        <v>1914</v>
      </c>
      <c r="B426" s="28" t="str">
        <f t="shared" si="0"/>
        <v>Thomas</v>
      </c>
      <c r="C426" s="27" t="s">
        <v>208</v>
      </c>
      <c r="D426" s="27" t="s">
        <v>2908</v>
      </c>
      <c r="E426" s="28" t="str">
        <f t="shared" si="1"/>
        <v>Lowman</v>
      </c>
      <c r="F426" s="28" t="str">
        <f t="shared" si="2"/>
        <v>Thomas Lowman</v>
      </c>
      <c r="G426" s="27" t="s">
        <v>210</v>
      </c>
      <c r="H426" s="27" t="str">
        <f t="shared" si="3"/>
        <v>Male</v>
      </c>
      <c r="I426" s="27" t="s">
        <v>2909</v>
      </c>
      <c r="J426" s="27" t="s">
        <v>1395</v>
      </c>
      <c r="K426" s="27" t="s">
        <v>213</v>
      </c>
      <c r="L426" s="27">
        <v>90670</v>
      </c>
      <c r="M426" s="28" t="str">
        <f t="shared" si="4"/>
        <v>4715 Southside Lane, Santa Fe Springs, CA, 90670</v>
      </c>
      <c r="N426" s="27" t="s">
        <v>2910</v>
      </c>
      <c r="O426" s="27" t="s">
        <v>2911</v>
      </c>
      <c r="P426" s="28">
        <v>323</v>
      </c>
      <c r="Q426" s="28">
        <v>691</v>
      </c>
      <c r="R426" s="28">
        <v>2424</v>
      </c>
      <c r="S426" s="29" t="s">
        <v>2912</v>
      </c>
      <c r="T426" s="28">
        <v>5735</v>
      </c>
    </row>
    <row r="427" spans="1:20" ht="14.25" customHeight="1">
      <c r="A427" s="27" t="s">
        <v>2913</v>
      </c>
      <c r="B427" s="28" t="str">
        <f t="shared" si="0"/>
        <v>Miki</v>
      </c>
      <c r="C427" s="27" t="s">
        <v>350</v>
      </c>
      <c r="D427" s="27" t="s">
        <v>2914</v>
      </c>
      <c r="E427" s="28" t="str">
        <f t="shared" si="1"/>
        <v>Gries</v>
      </c>
      <c r="F427" s="28" t="str">
        <f t="shared" si="2"/>
        <v>Miki Gries</v>
      </c>
      <c r="G427" s="27" t="s">
        <v>200</v>
      </c>
      <c r="H427" s="27" t="str">
        <f t="shared" si="3"/>
        <v>Female</v>
      </c>
      <c r="I427" s="27" t="s">
        <v>2915</v>
      </c>
      <c r="J427" s="27" t="s">
        <v>832</v>
      </c>
      <c r="K427" s="27" t="s">
        <v>581</v>
      </c>
      <c r="L427" s="27">
        <v>21202</v>
      </c>
      <c r="M427" s="28" t="str">
        <f t="shared" si="4"/>
        <v>3504 Calvin Street, Baltimore, MD, 21202</v>
      </c>
      <c r="N427" s="27" t="s">
        <v>2916</v>
      </c>
      <c r="O427" s="27" t="s">
        <v>2917</v>
      </c>
      <c r="P427" s="28">
        <v>443</v>
      </c>
      <c r="Q427" s="28">
        <v>383</v>
      </c>
      <c r="R427" s="28">
        <v>8083</v>
      </c>
      <c r="S427" s="29" t="s">
        <v>2918</v>
      </c>
      <c r="T427" s="28">
        <v>8008</v>
      </c>
    </row>
    <row r="428" spans="1:20" ht="14.25" customHeight="1">
      <c r="A428" s="27" t="s">
        <v>2919</v>
      </c>
      <c r="B428" s="28" t="str">
        <f t="shared" si="0"/>
        <v>Frances</v>
      </c>
      <c r="C428" s="27" t="s">
        <v>350</v>
      </c>
      <c r="D428" s="27" t="s">
        <v>681</v>
      </c>
      <c r="E428" s="28" t="str">
        <f t="shared" si="1"/>
        <v>King</v>
      </c>
      <c r="F428" s="28" t="str">
        <f t="shared" si="2"/>
        <v>Frances King</v>
      </c>
      <c r="G428" s="27" t="s">
        <v>200</v>
      </c>
      <c r="H428" s="27" t="str">
        <f t="shared" si="3"/>
        <v>Female</v>
      </c>
      <c r="I428" s="27" t="s">
        <v>2920</v>
      </c>
      <c r="J428" s="27" t="s">
        <v>1325</v>
      </c>
      <c r="K428" s="27" t="s">
        <v>272</v>
      </c>
      <c r="L428" s="27">
        <v>10016</v>
      </c>
      <c r="M428" s="28" t="str">
        <f t="shared" si="4"/>
        <v>3784 Turkey Pen Road, New York, NY, 10016</v>
      </c>
      <c r="N428" s="27" t="s">
        <v>2921</v>
      </c>
      <c r="O428" s="27" t="s">
        <v>2922</v>
      </c>
      <c r="P428" s="28">
        <v>917</v>
      </c>
      <c r="Q428" s="28">
        <v>278</v>
      </c>
      <c r="R428" s="28">
        <v>4105</v>
      </c>
      <c r="S428" s="29" t="s">
        <v>2923</v>
      </c>
      <c r="T428" s="28">
        <v>8912</v>
      </c>
    </row>
    <row r="429" spans="1:20" ht="14.25" customHeight="1">
      <c r="A429" s="27" t="s">
        <v>2924</v>
      </c>
      <c r="B429" s="28" t="str">
        <f t="shared" si="0"/>
        <v>Gilberto</v>
      </c>
      <c r="C429" s="27" t="s">
        <v>208</v>
      </c>
      <c r="D429" s="27" t="s">
        <v>2925</v>
      </c>
      <c r="E429" s="28" t="str">
        <f t="shared" si="1"/>
        <v>Lau</v>
      </c>
      <c r="F429" s="28" t="str">
        <f t="shared" si="2"/>
        <v>Gilberto Lau</v>
      </c>
      <c r="G429" s="27" t="s">
        <v>210</v>
      </c>
      <c r="H429" s="27" t="str">
        <f t="shared" si="3"/>
        <v>Male</v>
      </c>
      <c r="I429" s="27" t="s">
        <v>2926</v>
      </c>
      <c r="J429" s="27" t="s">
        <v>2927</v>
      </c>
      <c r="K429" s="27" t="s">
        <v>515</v>
      </c>
      <c r="L429" s="27">
        <v>65616</v>
      </c>
      <c r="M429" s="28" t="str">
        <f t="shared" si="4"/>
        <v>3459 Lighthouse Drive, Branson, MO, 65616</v>
      </c>
      <c r="N429" s="27" t="s">
        <v>2928</v>
      </c>
      <c r="O429" s="27" t="s">
        <v>2929</v>
      </c>
      <c r="P429" s="28">
        <v>417</v>
      </c>
      <c r="Q429" s="28">
        <v>280</v>
      </c>
      <c r="R429" s="28">
        <v>1772</v>
      </c>
      <c r="S429" s="29" t="s">
        <v>2930</v>
      </c>
      <c r="T429" s="28">
        <v>935</v>
      </c>
    </row>
    <row r="430" spans="1:20" ht="14.25" customHeight="1">
      <c r="A430" s="27" t="s">
        <v>2655</v>
      </c>
      <c r="B430" s="28" t="str">
        <f t="shared" si="0"/>
        <v>Andrew</v>
      </c>
      <c r="C430" s="27" t="s">
        <v>511</v>
      </c>
      <c r="D430" s="27" t="s">
        <v>2780</v>
      </c>
      <c r="E430" s="28" t="str">
        <f t="shared" si="1"/>
        <v>Atkinson</v>
      </c>
      <c r="F430" s="28" t="str">
        <f t="shared" si="2"/>
        <v>Andrew Atkinson</v>
      </c>
      <c r="G430" s="27" t="s">
        <v>210</v>
      </c>
      <c r="H430" s="27" t="str">
        <f t="shared" si="3"/>
        <v>Male</v>
      </c>
      <c r="I430" s="27" t="s">
        <v>2931</v>
      </c>
      <c r="J430" s="27" t="s">
        <v>878</v>
      </c>
      <c r="K430" s="27" t="s">
        <v>213</v>
      </c>
      <c r="L430" s="27">
        <v>94143</v>
      </c>
      <c r="M430" s="28" t="str">
        <f t="shared" si="4"/>
        <v>627 Locust View Drive, San Francisco, CA, 94143</v>
      </c>
      <c r="N430" s="27" t="s">
        <v>2932</v>
      </c>
      <c r="O430" s="27" t="s">
        <v>2933</v>
      </c>
      <c r="P430" s="28">
        <v>415</v>
      </c>
      <c r="Q430" s="28">
        <v>936</v>
      </c>
      <c r="R430" s="28">
        <v>3184</v>
      </c>
      <c r="S430" s="29" t="s">
        <v>2934</v>
      </c>
      <c r="T430" s="28">
        <v>767</v>
      </c>
    </row>
    <row r="431" spans="1:20" ht="14.25" customHeight="1">
      <c r="A431" s="27" t="s">
        <v>2935</v>
      </c>
      <c r="B431" s="28" t="str">
        <f t="shared" si="0"/>
        <v>Jeffrey</v>
      </c>
      <c r="C431" s="27" t="s">
        <v>198</v>
      </c>
      <c r="D431" s="27" t="s">
        <v>2936</v>
      </c>
      <c r="E431" s="28" t="str">
        <f t="shared" si="1"/>
        <v>Duggins</v>
      </c>
      <c r="F431" s="28" t="str">
        <f t="shared" si="2"/>
        <v>Jeffrey Duggins</v>
      </c>
      <c r="G431" s="27" t="s">
        <v>210</v>
      </c>
      <c r="H431" s="27" t="str">
        <f t="shared" si="3"/>
        <v>Male</v>
      </c>
      <c r="I431" s="27" t="s">
        <v>2937</v>
      </c>
      <c r="J431" s="27" t="s">
        <v>1683</v>
      </c>
      <c r="K431" s="27" t="s">
        <v>469</v>
      </c>
      <c r="L431" s="27">
        <v>45406</v>
      </c>
      <c r="M431" s="28" t="str">
        <f t="shared" si="4"/>
        <v>3871 College Avenue, Dayton, OH, 45406</v>
      </c>
      <c r="N431" s="27" t="s">
        <v>2938</v>
      </c>
      <c r="O431" s="27" t="s">
        <v>2939</v>
      </c>
      <c r="P431" s="28">
        <v>937</v>
      </c>
      <c r="Q431" s="28">
        <v>413</v>
      </c>
      <c r="R431" s="28">
        <v>2916</v>
      </c>
      <c r="S431" s="29" t="s">
        <v>2940</v>
      </c>
      <c r="T431" s="28">
        <v>271</v>
      </c>
    </row>
    <row r="432" spans="1:20" ht="14.25" customHeight="1">
      <c r="A432" s="27" t="s">
        <v>2941</v>
      </c>
      <c r="B432" s="28" t="str">
        <f t="shared" si="0"/>
        <v>Olivia</v>
      </c>
      <c r="C432" s="27" t="s">
        <v>511</v>
      </c>
      <c r="D432" s="27" t="s">
        <v>2942</v>
      </c>
      <c r="E432" s="28" t="str">
        <f t="shared" si="1"/>
        <v>Munson</v>
      </c>
      <c r="F432" s="28" t="str">
        <f t="shared" si="2"/>
        <v>Olivia Munson</v>
      </c>
      <c r="G432" s="27" t="s">
        <v>200</v>
      </c>
      <c r="H432" s="27" t="str">
        <f t="shared" si="3"/>
        <v>Female</v>
      </c>
      <c r="I432" s="27" t="s">
        <v>2943</v>
      </c>
      <c r="J432" s="27" t="s">
        <v>295</v>
      </c>
      <c r="K432" s="27" t="s">
        <v>256</v>
      </c>
      <c r="L432" s="27">
        <v>75240</v>
      </c>
      <c r="M432" s="28" t="str">
        <f t="shared" si="4"/>
        <v>3196 Charla Lane, Dallas, TX, 75240</v>
      </c>
      <c r="N432" s="27" t="s">
        <v>2944</v>
      </c>
      <c r="O432" s="27" t="s">
        <v>2945</v>
      </c>
      <c r="P432" s="28">
        <v>972</v>
      </c>
      <c r="Q432" s="28">
        <v>774</v>
      </c>
      <c r="R432" s="28">
        <v>2663</v>
      </c>
      <c r="S432" s="29" t="s">
        <v>2946</v>
      </c>
      <c r="T432" s="28">
        <v>188</v>
      </c>
    </row>
    <row r="433" spans="1:20" ht="14.25" customHeight="1">
      <c r="A433" s="27" t="s">
        <v>2295</v>
      </c>
      <c r="B433" s="28" t="str">
        <f t="shared" si="0"/>
        <v>Amy</v>
      </c>
      <c r="C433" s="27" t="s">
        <v>252</v>
      </c>
      <c r="D433" s="27" t="s">
        <v>2161</v>
      </c>
      <c r="E433" s="28" t="str">
        <f t="shared" si="1"/>
        <v>Carter</v>
      </c>
      <c r="F433" s="28" t="str">
        <f t="shared" si="2"/>
        <v>Amy Carter</v>
      </c>
      <c r="G433" s="27" t="s">
        <v>200</v>
      </c>
      <c r="H433" s="27" t="str">
        <f t="shared" si="3"/>
        <v>Female</v>
      </c>
      <c r="I433" s="27" t="s">
        <v>2947</v>
      </c>
      <c r="J433" s="27" t="s">
        <v>2948</v>
      </c>
      <c r="K433" s="27" t="s">
        <v>239</v>
      </c>
      <c r="L433" s="27">
        <v>71302</v>
      </c>
      <c r="M433" s="28" t="str">
        <f t="shared" si="4"/>
        <v>2091 August Lane, Alexandria, LA, 71302</v>
      </c>
      <c r="N433" s="27" t="s">
        <v>2949</v>
      </c>
      <c r="O433" s="27" t="s">
        <v>2950</v>
      </c>
      <c r="P433" s="28">
        <v>318</v>
      </c>
      <c r="Q433" s="28">
        <v>463</v>
      </c>
      <c r="R433" s="28">
        <v>7717</v>
      </c>
      <c r="S433" s="29" t="s">
        <v>2951</v>
      </c>
      <c r="T433" s="28">
        <v>210</v>
      </c>
    </row>
    <row r="434" spans="1:20" ht="14.25" customHeight="1">
      <c r="A434" s="27" t="s">
        <v>251</v>
      </c>
      <c r="B434" s="28" t="str">
        <f t="shared" si="0"/>
        <v>Diane</v>
      </c>
      <c r="C434" s="27" t="s">
        <v>198</v>
      </c>
      <c r="D434" s="27" t="s">
        <v>2952</v>
      </c>
      <c r="E434" s="28" t="str">
        <f t="shared" si="1"/>
        <v>Coldwell</v>
      </c>
      <c r="F434" s="28" t="str">
        <f t="shared" si="2"/>
        <v>Diane Coldwell</v>
      </c>
      <c r="G434" s="27" t="s">
        <v>200</v>
      </c>
      <c r="H434" s="27" t="str">
        <f t="shared" si="3"/>
        <v>Female</v>
      </c>
      <c r="I434" s="27" t="s">
        <v>2953</v>
      </c>
      <c r="J434" s="27" t="s">
        <v>2954</v>
      </c>
      <c r="K434" s="27" t="s">
        <v>1553</v>
      </c>
      <c r="L434" s="27">
        <v>72143</v>
      </c>
      <c r="M434" s="28" t="str">
        <f t="shared" si="4"/>
        <v>2385 Clinton Street, Searcy, AR, 72143</v>
      </c>
      <c r="N434" s="27" t="s">
        <v>2955</v>
      </c>
      <c r="O434" s="27" t="s">
        <v>2956</v>
      </c>
      <c r="P434" s="28">
        <v>501</v>
      </c>
      <c r="Q434" s="28">
        <v>278</v>
      </c>
      <c r="R434" s="28">
        <v>7551</v>
      </c>
      <c r="S434" s="29" t="s">
        <v>2957</v>
      </c>
      <c r="T434" s="28">
        <v>449</v>
      </c>
    </row>
    <row r="435" spans="1:20" ht="14.25" customHeight="1">
      <c r="A435" s="27" t="s">
        <v>2958</v>
      </c>
      <c r="B435" s="28" t="str">
        <f t="shared" si="0"/>
        <v>Haywood</v>
      </c>
      <c r="C435" s="27" t="s">
        <v>226</v>
      </c>
      <c r="D435" s="27" t="s">
        <v>2959</v>
      </c>
      <c r="E435" s="28" t="str">
        <f t="shared" si="1"/>
        <v>Albritton</v>
      </c>
      <c r="F435" s="28" t="str">
        <f t="shared" si="2"/>
        <v>Haywood Albritton</v>
      </c>
      <c r="G435" s="27" t="s">
        <v>210</v>
      </c>
      <c r="H435" s="27" t="str">
        <f t="shared" si="3"/>
        <v>Male</v>
      </c>
      <c r="I435" s="27" t="s">
        <v>2960</v>
      </c>
      <c r="J435" s="27" t="s">
        <v>2961</v>
      </c>
      <c r="K435" s="27" t="s">
        <v>247</v>
      </c>
      <c r="L435" s="27">
        <v>97222</v>
      </c>
      <c r="M435" s="28" t="str">
        <f t="shared" si="4"/>
        <v>1778 Kincheloe Road, Milwaukie, OR, 97222</v>
      </c>
      <c r="N435" s="27" t="s">
        <v>2962</v>
      </c>
      <c r="O435" s="27" t="s">
        <v>2963</v>
      </c>
      <c r="P435" s="28">
        <v>503</v>
      </c>
      <c r="Q435" s="28">
        <v>513</v>
      </c>
      <c r="R435" s="28">
        <v>3931</v>
      </c>
      <c r="S435" s="29" t="s">
        <v>2964</v>
      </c>
      <c r="T435" s="28">
        <v>2978</v>
      </c>
    </row>
    <row r="436" spans="1:20" ht="14.25" customHeight="1">
      <c r="A436" s="27" t="s">
        <v>2965</v>
      </c>
      <c r="B436" s="28" t="str">
        <f t="shared" si="0"/>
        <v>Dean</v>
      </c>
      <c r="C436" s="27" t="s">
        <v>350</v>
      </c>
      <c r="D436" s="27" t="s">
        <v>2966</v>
      </c>
      <c r="E436" s="28" t="str">
        <f t="shared" si="1"/>
        <v>Day</v>
      </c>
      <c r="F436" s="28" t="str">
        <f t="shared" si="2"/>
        <v>Dean Day</v>
      </c>
      <c r="G436" s="27" t="s">
        <v>210</v>
      </c>
      <c r="H436" s="27" t="str">
        <f t="shared" si="3"/>
        <v>Male</v>
      </c>
      <c r="I436" s="27" t="s">
        <v>2967</v>
      </c>
      <c r="J436" s="27" t="s">
        <v>1297</v>
      </c>
      <c r="K436" s="27" t="s">
        <v>1298</v>
      </c>
      <c r="L436" s="27">
        <v>96819</v>
      </c>
      <c r="M436" s="28" t="str">
        <f t="shared" si="4"/>
        <v>1037 Randall Drive, Honolulu, HI, 96819</v>
      </c>
      <c r="N436" s="27" t="s">
        <v>2968</v>
      </c>
      <c r="O436" s="27" t="s">
        <v>2969</v>
      </c>
      <c r="P436" s="28">
        <v>808</v>
      </c>
      <c r="Q436" s="28">
        <v>782</v>
      </c>
      <c r="R436" s="28">
        <v>9339</v>
      </c>
      <c r="S436" s="29" t="s">
        <v>2970</v>
      </c>
      <c r="T436" s="28">
        <v>197</v>
      </c>
    </row>
    <row r="437" spans="1:20" ht="14.25" customHeight="1">
      <c r="A437" s="27" t="s">
        <v>217</v>
      </c>
      <c r="B437" s="28" t="str">
        <f t="shared" si="0"/>
        <v>Susan</v>
      </c>
      <c r="C437" s="27" t="s">
        <v>300</v>
      </c>
      <c r="D437" s="27" t="s">
        <v>2971</v>
      </c>
      <c r="E437" s="28" t="str">
        <f t="shared" si="1"/>
        <v>Wallace</v>
      </c>
      <c r="F437" s="28" t="str">
        <f t="shared" si="2"/>
        <v>Susan Wallace</v>
      </c>
      <c r="G437" s="27" t="s">
        <v>200</v>
      </c>
      <c r="H437" s="27" t="str">
        <f t="shared" si="3"/>
        <v>Female</v>
      </c>
      <c r="I437" s="27" t="s">
        <v>2972</v>
      </c>
      <c r="J437" s="27" t="s">
        <v>2104</v>
      </c>
      <c r="K437" s="27" t="s">
        <v>213</v>
      </c>
      <c r="L437" s="27">
        <v>95113</v>
      </c>
      <c r="M437" s="28" t="str">
        <f t="shared" si="4"/>
        <v>662 Parrish Avenue, San Jose, CA, 95113</v>
      </c>
      <c r="N437" s="27" t="s">
        <v>2973</v>
      </c>
      <c r="O437" s="27" t="s">
        <v>2974</v>
      </c>
      <c r="P437" s="28">
        <v>831</v>
      </c>
      <c r="Q437" s="28">
        <v>218</v>
      </c>
      <c r="R437" s="28">
        <v>2456</v>
      </c>
      <c r="S437" s="29" t="s">
        <v>2975</v>
      </c>
      <c r="T437" s="28">
        <v>807</v>
      </c>
    </row>
    <row r="438" spans="1:20" ht="14.25" customHeight="1">
      <c r="A438" s="27" t="s">
        <v>503</v>
      </c>
      <c r="B438" s="28" t="str">
        <f t="shared" si="0"/>
        <v>Anthony</v>
      </c>
      <c r="C438" s="27" t="s">
        <v>235</v>
      </c>
      <c r="D438" s="27" t="s">
        <v>2976</v>
      </c>
      <c r="E438" s="28" t="str">
        <f t="shared" si="1"/>
        <v>Brawner</v>
      </c>
      <c r="F438" s="28" t="str">
        <f t="shared" si="2"/>
        <v>Anthony Brawner</v>
      </c>
      <c r="G438" s="27" t="s">
        <v>210</v>
      </c>
      <c r="H438" s="27" t="str">
        <f t="shared" si="3"/>
        <v>Male</v>
      </c>
      <c r="I438" s="27" t="s">
        <v>2977</v>
      </c>
      <c r="J438" s="27" t="s">
        <v>832</v>
      </c>
      <c r="K438" s="27" t="s">
        <v>581</v>
      </c>
      <c r="L438" s="27">
        <v>21202</v>
      </c>
      <c r="M438" s="28" t="str">
        <f t="shared" si="4"/>
        <v>481 Five Points, Baltimore, MD, 21202</v>
      </c>
      <c r="N438" s="27" t="s">
        <v>2978</v>
      </c>
      <c r="O438" s="27" t="s">
        <v>2979</v>
      </c>
      <c r="P438" s="28">
        <v>443</v>
      </c>
      <c r="Q438" s="28">
        <v>227</v>
      </c>
      <c r="R438" s="28">
        <v>9750</v>
      </c>
      <c r="S438" s="29" t="s">
        <v>2980</v>
      </c>
      <c r="T438" s="28">
        <v>885</v>
      </c>
    </row>
    <row r="439" spans="1:20" ht="14.25" customHeight="1">
      <c r="A439" s="27" t="s">
        <v>1425</v>
      </c>
      <c r="B439" s="28" t="str">
        <f t="shared" si="0"/>
        <v>Jesse</v>
      </c>
      <c r="C439" s="27" t="s">
        <v>208</v>
      </c>
      <c r="D439" s="27" t="s">
        <v>2981</v>
      </c>
      <c r="E439" s="28" t="str">
        <f t="shared" si="1"/>
        <v>Morrow</v>
      </c>
      <c r="F439" s="28" t="str">
        <f t="shared" si="2"/>
        <v>Jesse Morrow</v>
      </c>
      <c r="G439" s="27" t="s">
        <v>200</v>
      </c>
      <c r="H439" s="27" t="str">
        <f t="shared" si="3"/>
        <v>Female</v>
      </c>
      <c r="I439" s="27" t="s">
        <v>2982</v>
      </c>
      <c r="J439" s="27" t="s">
        <v>2983</v>
      </c>
      <c r="K439" s="27" t="s">
        <v>581</v>
      </c>
      <c r="L439" s="27">
        <v>20705</v>
      </c>
      <c r="M439" s="28" t="str">
        <f t="shared" si="4"/>
        <v>2702 Chatham Way, Beltsville, MD, 20705</v>
      </c>
      <c r="N439" s="27" t="s">
        <v>2984</v>
      </c>
      <c r="O439" s="27" t="s">
        <v>2985</v>
      </c>
      <c r="P439" s="28">
        <v>240</v>
      </c>
      <c r="Q439" s="28">
        <v>643</v>
      </c>
      <c r="R439" s="28">
        <v>5792</v>
      </c>
      <c r="S439" s="29" t="s">
        <v>2986</v>
      </c>
      <c r="T439" s="28">
        <v>597</v>
      </c>
    </row>
    <row r="440" spans="1:20" ht="14.25" customHeight="1">
      <c r="A440" s="27" t="s">
        <v>2987</v>
      </c>
      <c r="B440" s="28" t="str">
        <f t="shared" si="0"/>
        <v>Stacy</v>
      </c>
      <c r="C440" s="27" t="s">
        <v>208</v>
      </c>
      <c r="D440" s="27" t="s">
        <v>2988</v>
      </c>
      <c r="E440" s="28" t="str">
        <f t="shared" si="1"/>
        <v>Petersen</v>
      </c>
      <c r="F440" s="28" t="str">
        <f t="shared" si="2"/>
        <v>Stacy Petersen</v>
      </c>
      <c r="G440" s="27" t="s">
        <v>200</v>
      </c>
      <c r="H440" s="27" t="str">
        <f t="shared" si="3"/>
        <v>Female</v>
      </c>
      <c r="I440" s="27" t="s">
        <v>2989</v>
      </c>
      <c r="J440" s="27" t="s">
        <v>2990</v>
      </c>
      <c r="K440" s="27" t="s">
        <v>515</v>
      </c>
      <c r="L440" s="27">
        <v>64106</v>
      </c>
      <c r="M440" s="28" t="str">
        <f t="shared" si="4"/>
        <v>1887 Oak Lane, Kansas City, MO, 64106</v>
      </c>
      <c r="N440" s="27" t="s">
        <v>2991</v>
      </c>
      <c r="O440" s="27" t="s">
        <v>2992</v>
      </c>
      <c r="P440" s="28">
        <v>660</v>
      </c>
      <c r="Q440" s="28">
        <v>797</v>
      </c>
      <c r="R440" s="28">
        <v>8359</v>
      </c>
      <c r="S440" s="29" t="s">
        <v>2993</v>
      </c>
      <c r="T440" s="28">
        <v>6141</v>
      </c>
    </row>
    <row r="441" spans="1:20" ht="14.25" customHeight="1">
      <c r="A441" s="27" t="s">
        <v>626</v>
      </c>
      <c r="B441" s="28" t="str">
        <f t="shared" si="0"/>
        <v>Brenda</v>
      </c>
      <c r="C441" s="27" t="s">
        <v>511</v>
      </c>
      <c r="D441" s="27" t="s">
        <v>2994</v>
      </c>
      <c r="E441" s="28" t="str">
        <f t="shared" si="1"/>
        <v>Norris</v>
      </c>
      <c r="F441" s="28" t="str">
        <f t="shared" si="2"/>
        <v>Brenda Norris</v>
      </c>
      <c r="G441" s="27" t="s">
        <v>200</v>
      </c>
      <c r="H441" s="27" t="str">
        <f t="shared" si="3"/>
        <v>Female</v>
      </c>
      <c r="I441" s="27" t="s">
        <v>2995</v>
      </c>
      <c r="J441" s="27" t="s">
        <v>2996</v>
      </c>
      <c r="K441" s="27" t="s">
        <v>706</v>
      </c>
      <c r="L441" s="27">
        <v>17111</v>
      </c>
      <c r="M441" s="28" t="str">
        <f t="shared" si="4"/>
        <v>2832 Lincoln Drive, Harrisburg, PA, 17111</v>
      </c>
      <c r="N441" s="27" t="s">
        <v>2997</v>
      </c>
      <c r="O441" s="27" t="s">
        <v>2998</v>
      </c>
      <c r="P441" s="28">
        <v>717</v>
      </c>
      <c r="Q441" s="28">
        <v>575</v>
      </c>
      <c r="R441" s="28">
        <v>6752</v>
      </c>
      <c r="S441" s="29" t="s">
        <v>2999</v>
      </c>
      <c r="T441" s="28">
        <v>8580</v>
      </c>
    </row>
    <row r="442" spans="1:20" ht="14.25" customHeight="1">
      <c r="A442" s="27" t="s">
        <v>2295</v>
      </c>
      <c r="B442" s="28" t="str">
        <f t="shared" si="0"/>
        <v>Amy</v>
      </c>
      <c r="C442" s="27" t="s">
        <v>533</v>
      </c>
      <c r="D442" s="27" t="s">
        <v>1914</v>
      </c>
      <c r="E442" s="28" t="str">
        <f t="shared" si="1"/>
        <v>Thomas</v>
      </c>
      <c r="F442" s="28" t="str">
        <f t="shared" si="2"/>
        <v>Amy Thomas</v>
      </c>
      <c r="G442" s="27" t="s">
        <v>200</v>
      </c>
      <c r="H442" s="27" t="str">
        <f t="shared" si="3"/>
        <v>Female</v>
      </c>
      <c r="I442" s="27" t="s">
        <v>3000</v>
      </c>
      <c r="J442" s="27" t="s">
        <v>2904</v>
      </c>
      <c r="K442" s="27" t="s">
        <v>239</v>
      </c>
      <c r="L442" s="27">
        <v>70001</v>
      </c>
      <c r="M442" s="28" t="str">
        <f t="shared" si="4"/>
        <v>2180 Paul Wayne Haggerty Road, Metairie, LA, 70001</v>
      </c>
      <c r="N442" s="27" t="s">
        <v>3001</v>
      </c>
      <c r="O442" s="27" t="s">
        <v>3002</v>
      </c>
      <c r="P442" s="28">
        <v>504</v>
      </c>
      <c r="Q442" s="28">
        <v>415</v>
      </c>
      <c r="R442" s="28">
        <v>5456</v>
      </c>
      <c r="S442" s="29" t="s">
        <v>3003</v>
      </c>
      <c r="T442" s="28">
        <v>65</v>
      </c>
    </row>
    <row r="443" spans="1:20" ht="14.25" customHeight="1">
      <c r="A443" s="27" t="s">
        <v>3004</v>
      </c>
      <c r="B443" s="28" t="str">
        <f t="shared" si="0"/>
        <v>Virginia</v>
      </c>
      <c r="C443" s="27" t="s">
        <v>226</v>
      </c>
      <c r="D443" s="27" t="s">
        <v>3005</v>
      </c>
      <c r="E443" s="28" t="str">
        <f t="shared" si="1"/>
        <v>Givens</v>
      </c>
      <c r="F443" s="28" t="str">
        <f t="shared" si="2"/>
        <v>Virginia Givens</v>
      </c>
      <c r="G443" s="27" t="s">
        <v>200</v>
      </c>
      <c r="H443" s="27" t="str">
        <f t="shared" si="3"/>
        <v>Female</v>
      </c>
      <c r="I443" s="27" t="s">
        <v>3006</v>
      </c>
      <c r="J443" s="27" t="s">
        <v>3007</v>
      </c>
      <c r="K443" s="27" t="s">
        <v>393</v>
      </c>
      <c r="L443" s="27">
        <v>24740</v>
      </c>
      <c r="M443" s="28" t="str">
        <f t="shared" si="4"/>
        <v>3716 Fulton Street, Princeton, WV, 24740</v>
      </c>
      <c r="N443" s="27" t="s">
        <v>3008</v>
      </c>
      <c r="O443" s="27" t="s">
        <v>3009</v>
      </c>
      <c r="P443" s="28">
        <v>304</v>
      </c>
      <c r="Q443" s="28">
        <v>487</v>
      </c>
      <c r="R443" s="28">
        <v>6096</v>
      </c>
      <c r="S443" s="29" t="s">
        <v>3010</v>
      </c>
      <c r="T443" s="28">
        <v>219</v>
      </c>
    </row>
    <row r="444" spans="1:20" ht="14.25" customHeight="1">
      <c r="A444" s="27" t="s">
        <v>1118</v>
      </c>
      <c r="B444" s="28" t="str">
        <f t="shared" si="0"/>
        <v>Leroy</v>
      </c>
      <c r="C444" s="27" t="s">
        <v>198</v>
      </c>
      <c r="D444" s="27" t="s">
        <v>3011</v>
      </c>
      <c r="E444" s="28" t="str">
        <f t="shared" si="1"/>
        <v>Ballweg</v>
      </c>
      <c r="F444" s="28" t="str">
        <f t="shared" si="2"/>
        <v>Leroy Ballweg</v>
      </c>
      <c r="G444" s="27" t="s">
        <v>210</v>
      </c>
      <c r="H444" s="27" t="str">
        <f t="shared" si="3"/>
        <v>Male</v>
      </c>
      <c r="I444" s="27" t="s">
        <v>3012</v>
      </c>
      <c r="J444" s="27" t="s">
        <v>1121</v>
      </c>
      <c r="K444" s="27" t="s">
        <v>469</v>
      </c>
      <c r="L444" s="27">
        <v>45236</v>
      </c>
      <c r="M444" s="28" t="str">
        <f t="shared" si="4"/>
        <v>3532 Round Table Drive, Cincinnati, OH, 45236</v>
      </c>
      <c r="N444" s="27" t="s">
        <v>3013</v>
      </c>
      <c r="O444" s="27" t="s">
        <v>3014</v>
      </c>
      <c r="P444" s="28">
        <v>513</v>
      </c>
      <c r="Q444" s="28">
        <v>793</v>
      </c>
      <c r="R444" s="28">
        <v>4303</v>
      </c>
      <c r="S444" s="29" t="s">
        <v>3015</v>
      </c>
      <c r="T444" s="28">
        <v>5756</v>
      </c>
    </row>
    <row r="445" spans="1:20" ht="14.25" customHeight="1">
      <c r="A445" s="27" t="s">
        <v>3016</v>
      </c>
      <c r="B445" s="28" t="str">
        <f t="shared" si="0"/>
        <v>Samuel</v>
      </c>
      <c r="C445" s="27" t="s">
        <v>226</v>
      </c>
      <c r="D445" s="27" t="s">
        <v>1963</v>
      </c>
      <c r="E445" s="28" t="str">
        <f t="shared" si="1"/>
        <v>Robinson</v>
      </c>
      <c r="F445" s="28" t="str">
        <f t="shared" si="2"/>
        <v>Samuel Robinson</v>
      </c>
      <c r="G445" s="27" t="s">
        <v>210</v>
      </c>
      <c r="H445" s="27" t="str">
        <f t="shared" si="3"/>
        <v>Male</v>
      </c>
      <c r="I445" s="27" t="s">
        <v>3017</v>
      </c>
      <c r="J445" s="27" t="s">
        <v>522</v>
      </c>
      <c r="K445" s="27" t="s">
        <v>1188</v>
      </c>
      <c r="L445" s="27">
        <v>29601</v>
      </c>
      <c r="M445" s="28" t="str">
        <f t="shared" si="4"/>
        <v>1518 Pooh Bear Lane, Greenville, SC, 29601</v>
      </c>
      <c r="N445" s="27" t="s">
        <v>3018</v>
      </c>
      <c r="O445" s="27" t="s">
        <v>3019</v>
      </c>
      <c r="P445" s="28">
        <v>864</v>
      </c>
      <c r="Q445" s="28">
        <v>621</v>
      </c>
      <c r="R445" s="28">
        <v>2834</v>
      </c>
      <c r="S445" s="29" t="s">
        <v>3020</v>
      </c>
      <c r="T445" s="28">
        <v>272</v>
      </c>
    </row>
    <row r="446" spans="1:20" ht="14.25" customHeight="1">
      <c r="A446" s="27" t="s">
        <v>3021</v>
      </c>
      <c r="B446" s="28" t="str">
        <f t="shared" si="0"/>
        <v>Derek</v>
      </c>
      <c r="C446" s="27" t="s">
        <v>511</v>
      </c>
      <c r="D446" s="27" t="s">
        <v>3022</v>
      </c>
      <c r="E446" s="28" t="str">
        <f t="shared" si="1"/>
        <v>Rivera</v>
      </c>
      <c r="F446" s="28" t="str">
        <f t="shared" si="2"/>
        <v>Derek Rivera</v>
      </c>
      <c r="G446" s="27" t="s">
        <v>210</v>
      </c>
      <c r="H446" s="27" t="str">
        <f t="shared" si="3"/>
        <v>Male</v>
      </c>
      <c r="I446" s="27" t="s">
        <v>3023</v>
      </c>
      <c r="J446" s="27" t="s">
        <v>3024</v>
      </c>
      <c r="K446" s="27" t="s">
        <v>1065</v>
      </c>
      <c r="L446" s="27">
        <v>67487</v>
      </c>
      <c r="M446" s="28" t="str">
        <f t="shared" si="4"/>
        <v>2513 Maloy Court, Wakefield, KS, 67487</v>
      </c>
      <c r="N446" s="27" t="s">
        <v>3025</v>
      </c>
      <c r="O446" s="27" t="s">
        <v>3026</v>
      </c>
      <c r="P446" s="28">
        <v>785</v>
      </c>
      <c r="Q446" s="28">
        <v>461</v>
      </c>
      <c r="R446" s="28">
        <v>6037</v>
      </c>
      <c r="S446" s="29" t="s">
        <v>3027</v>
      </c>
      <c r="T446" s="28">
        <v>14</v>
      </c>
    </row>
    <row r="447" spans="1:20" ht="14.25" customHeight="1">
      <c r="A447" s="27" t="s">
        <v>217</v>
      </c>
      <c r="B447" s="28" t="str">
        <f t="shared" si="0"/>
        <v>Susan</v>
      </c>
      <c r="C447" s="27" t="s">
        <v>381</v>
      </c>
      <c r="D447" s="27" t="s">
        <v>3028</v>
      </c>
      <c r="E447" s="28" t="str">
        <f t="shared" si="1"/>
        <v>Boling</v>
      </c>
      <c r="F447" s="28" t="str">
        <f t="shared" si="2"/>
        <v>Susan Boling</v>
      </c>
      <c r="G447" s="27" t="s">
        <v>200</v>
      </c>
      <c r="H447" s="27" t="str">
        <f t="shared" si="3"/>
        <v>Female</v>
      </c>
      <c r="I447" s="27" t="s">
        <v>3029</v>
      </c>
      <c r="J447" s="27" t="s">
        <v>3030</v>
      </c>
      <c r="K447" s="27" t="s">
        <v>213</v>
      </c>
      <c r="L447" s="27">
        <v>92664</v>
      </c>
      <c r="M447" s="28" t="str">
        <f t="shared" si="4"/>
        <v>1423 Hillcrest Lane, Irvine, CA, 92664</v>
      </c>
      <c r="N447" s="27" t="s">
        <v>3031</v>
      </c>
      <c r="O447" s="27" t="s">
        <v>3032</v>
      </c>
      <c r="P447" s="28">
        <v>949</v>
      </c>
      <c r="Q447" s="28">
        <v>929</v>
      </c>
      <c r="R447" s="28">
        <v>5020</v>
      </c>
      <c r="S447" s="29" t="s">
        <v>3033</v>
      </c>
      <c r="T447" s="28">
        <v>594</v>
      </c>
    </row>
    <row r="448" spans="1:20" ht="14.25" customHeight="1">
      <c r="A448" s="27" t="s">
        <v>1374</v>
      </c>
      <c r="B448" s="28" t="str">
        <f t="shared" si="0"/>
        <v>Kathy</v>
      </c>
      <c r="C448" s="27" t="s">
        <v>198</v>
      </c>
      <c r="D448" s="27" t="s">
        <v>3034</v>
      </c>
      <c r="E448" s="28" t="str">
        <f t="shared" si="1"/>
        <v>Bazan</v>
      </c>
      <c r="F448" s="28" t="str">
        <f t="shared" si="2"/>
        <v>Kathy Bazan</v>
      </c>
      <c r="G448" s="27" t="s">
        <v>200</v>
      </c>
      <c r="H448" s="27" t="str">
        <f t="shared" si="3"/>
        <v>Female</v>
      </c>
      <c r="I448" s="27" t="s">
        <v>3035</v>
      </c>
      <c r="J448" s="27" t="s">
        <v>3036</v>
      </c>
      <c r="K448" s="27" t="s">
        <v>684</v>
      </c>
      <c r="L448" s="27">
        <v>47906</v>
      </c>
      <c r="M448" s="28" t="str">
        <f t="shared" si="4"/>
        <v>1668 Winifred Way, Lafayette, IN, 47906</v>
      </c>
      <c r="N448" s="27" t="s">
        <v>3037</v>
      </c>
      <c r="O448" s="27" t="s">
        <v>3038</v>
      </c>
      <c r="P448" s="28">
        <v>765</v>
      </c>
      <c r="Q448" s="28">
        <v>746</v>
      </c>
      <c r="R448" s="28">
        <v>191</v>
      </c>
      <c r="S448" s="29" t="s">
        <v>3039</v>
      </c>
      <c r="T448" s="28">
        <v>8075</v>
      </c>
    </row>
    <row r="449" spans="1:20" ht="14.25" customHeight="1">
      <c r="A449" s="27" t="s">
        <v>3040</v>
      </c>
      <c r="B449" s="28" t="str">
        <f t="shared" si="0"/>
        <v>Tara</v>
      </c>
      <c r="C449" s="27" t="s">
        <v>465</v>
      </c>
      <c r="D449" s="27" t="s">
        <v>3041</v>
      </c>
      <c r="E449" s="28" t="str">
        <f t="shared" si="1"/>
        <v>Emberton</v>
      </c>
      <c r="F449" s="28" t="str">
        <f t="shared" si="2"/>
        <v>Tara Emberton</v>
      </c>
      <c r="G449" s="27" t="s">
        <v>200</v>
      </c>
      <c r="H449" s="27" t="str">
        <f t="shared" si="3"/>
        <v>Female</v>
      </c>
      <c r="I449" s="27" t="s">
        <v>3042</v>
      </c>
      <c r="J449" s="27" t="s">
        <v>3043</v>
      </c>
      <c r="K449" s="27" t="s">
        <v>256</v>
      </c>
      <c r="L449" s="27">
        <v>79536</v>
      </c>
      <c r="M449" s="28" t="str">
        <f t="shared" si="4"/>
        <v>3032 Anthony Avenue, Nubia, TX, 79536</v>
      </c>
      <c r="N449" s="27" t="s">
        <v>3044</v>
      </c>
      <c r="O449" s="27" t="s">
        <v>3045</v>
      </c>
      <c r="P449" s="28">
        <v>325</v>
      </c>
      <c r="Q449" s="28">
        <v>846</v>
      </c>
      <c r="R449" s="28">
        <v>3787</v>
      </c>
      <c r="S449" s="29" t="s">
        <v>3046</v>
      </c>
      <c r="T449" s="28">
        <v>3622</v>
      </c>
    </row>
    <row r="450" spans="1:20" ht="14.25" customHeight="1">
      <c r="A450" s="27" t="s">
        <v>3047</v>
      </c>
      <c r="B450" s="28" t="str">
        <f t="shared" si="0"/>
        <v>Earl</v>
      </c>
      <c r="C450" s="27" t="s">
        <v>226</v>
      </c>
      <c r="D450" s="27" t="s">
        <v>3048</v>
      </c>
      <c r="E450" s="28" t="str">
        <f t="shared" si="1"/>
        <v>Aguirre</v>
      </c>
      <c r="F450" s="28" t="str">
        <f t="shared" si="2"/>
        <v>Earl Aguirre</v>
      </c>
      <c r="G450" s="27" t="s">
        <v>210</v>
      </c>
      <c r="H450" s="27" t="str">
        <f t="shared" si="3"/>
        <v>Male</v>
      </c>
      <c r="I450" s="27" t="s">
        <v>3049</v>
      </c>
      <c r="J450" s="27" t="s">
        <v>601</v>
      </c>
      <c r="K450" s="27" t="s">
        <v>345</v>
      </c>
      <c r="L450" s="27">
        <v>37201</v>
      </c>
      <c r="M450" s="28" t="str">
        <f t="shared" si="4"/>
        <v>3747 McDowell Street, Nashville, TN, 37201</v>
      </c>
      <c r="N450" s="27" t="s">
        <v>3050</v>
      </c>
      <c r="O450" s="27" t="s">
        <v>3051</v>
      </c>
      <c r="P450" s="28">
        <v>931</v>
      </c>
      <c r="Q450" s="28">
        <v>416</v>
      </c>
      <c r="R450" s="28">
        <v>4171</v>
      </c>
      <c r="S450" s="29" t="s">
        <v>3052</v>
      </c>
      <c r="T450" s="28">
        <v>4076</v>
      </c>
    </row>
    <row r="451" spans="1:20" ht="14.25" customHeight="1">
      <c r="A451" s="27" t="s">
        <v>3053</v>
      </c>
      <c r="B451" s="28" t="str">
        <f t="shared" si="0"/>
        <v>Clarence</v>
      </c>
      <c r="C451" s="27" t="s">
        <v>381</v>
      </c>
      <c r="D451" s="27" t="s">
        <v>243</v>
      </c>
      <c r="E451" s="28" t="str">
        <f t="shared" si="1"/>
        <v>Joseph</v>
      </c>
      <c r="F451" s="28" t="str">
        <f t="shared" si="2"/>
        <v>Clarence Joseph</v>
      </c>
      <c r="G451" s="27" t="s">
        <v>210</v>
      </c>
      <c r="H451" s="27" t="str">
        <f t="shared" si="3"/>
        <v>Male</v>
      </c>
      <c r="I451" s="27" t="s">
        <v>3054</v>
      </c>
      <c r="J451" s="27" t="s">
        <v>353</v>
      </c>
      <c r="K451" s="27" t="s">
        <v>203</v>
      </c>
      <c r="L451" s="27">
        <v>60601</v>
      </c>
      <c r="M451" s="28" t="str">
        <f t="shared" si="4"/>
        <v>2276 Lowland Drive, Chicago, IL, 60601</v>
      </c>
      <c r="N451" s="27" t="s">
        <v>3055</v>
      </c>
      <c r="O451" s="27" t="s">
        <v>3056</v>
      </c>
      <c r="P451" s="28">
        <v>815</v>
      </c>
      <c r="Q451" s="28">
        <v>371</v>
      </c>
      <c r="R451" s="28">
        <v>6613</v>
      </c>
      <c r="S451" s="29" t="s">
        <v>3057</v>
      </c>
      <c r="T451" s="28">
        <v>680</v>
      </c>
    </row>
    <row r="452" spans="1:20" ht="14.25" customHeight="1">
      <c r="A452" s="27" t="s">
        <v>3058</v>
      </c>
      <c r="B452" s="28" t="str">
        <f t="shared" si="0"/>
        <v>Teddy</v>
      </c>
      <c r="C452" s="27" t="s">
        <v>429</v>
      </c>
      <c r="D452" s="27" t="s">
        <v>3059</v>
      </c>
      <c r="E452" s="28" t="str">
        <f t="shared" si="1"/>
        <v>Dishman</v>
      </c>
      <c r="F452" s="28" t="str">
        <f t="shared" si="2"/>
        <v>Teddy Dishman</v>
      </c>
      <c r="G452" s="27" t="s">
        <v>210</v>
      </c>
      <c r="H452" s="27" t="str">
        <f t="shared" si="3"/>
        <v>Male</v>
      </c>
      <c r="I452" s="27" t="s">
        <v>3060</v>
      </c>
      <c r="J452" s="27" t="s">
        <v>3061</v>
      </c>
      <c r="K452" s="27" t="s">
        <v>256</v>
      </c>
      <c r="L452" s="27">
        <v>77478</v>
      </c>
      <c r="M452" s="28" t="str">
        <f t="shared" si="4"/>
        <v>287 Margaret Street, Sugar Land, TX, 77478</v>
      </c>
      <c r="N452" s="27" t="s">
        <v>3062</v>
      </c>
      <c r="O452" s="27" t="s">
        <v>3063</v>
      </c>
      <c r="P452" s="28">
        <v>713</v>
      </c>
      <c r="Q452" s="28">
        <v>902</v>
      </c>
      <c r="R452" s="28">
        <v>5769</v>
      </c>
      <c r="S452" s="29" t="s">
        <v>3064</v>
      </c>
      <c r="T452" s="28">
        <v>9353</v>
      </c>
    </row>
    <row r="453" spans="1:20" ht="14.25" customHeight="1">
      <c r="A453" s="27" t="s">
        <v>2201</v>
      </c>
      <c r="B453" s="28" t="str">
        <f t="shared" si="0"/>
        <v>Juan</v>
      </c>
      <c r="C453" s="27" t="s">
        <v>533</v>
      </c>
      <c r="D453" s="27" t="s">
        <v>3065</v>
      </c>
      <c r="E453" s="28" t="str">
        <f t="shared" si="1"/>
        <v>Jacobsen</v>
      </c>
      <c r="F453" s="28" t="str">
        <f t="shared" si="2"/>
        <v>Juan Jacobsen</v>
      </c>
      <c r="G453" s="27" t="s">
        <v>210</v>
      </c>
      <c r="H453" s="27" t="str">
        <f t="shared" si="3"/>
        <v>Male</v>
      </c>
      <c r="I453" s="27" t="s">
        <v>3066</v>
      </c>
      <c r="J453" s="27" t="s">
        <v>441</v>
      </c>
      <c r="K453" s="27" t="s">
        <v>424</v>
      </c>
      <c r="L453" s="27">
        <v>28202</v>
      </c>
      <c r="M453" s="28" t="str">
        <f t="shared" si="4"/>
        <v>527 Kelly Street, Charlotte, NC, 28202</v>
      </c>
      <c r="N453" s="27" t="s">
        <v>3067</v>
      </c>
      <c r="O453" s="27" t="s">
        <v>3068</v>
      </c>
      <c r="P453" s="28">
        <v>704</v>
      </c>
      <c r="Q453" s="28">
        <v>908</v>
      </c>
      <c r="R453" s="28">
        <v>1546</v>
      </c>
      <c r="S453" s="29" t="s">
        <v>3069</v>
      </c>
      <c r="T453" s="28">
        <v>3941</v>
      </c>
    </row>
    <row r="454" spans="1:20" ht="14.25" customHeight="1">
      <c r="A454" s="27" t="s">
        <v>357</v>
      </c>
      <c r="B454" s="28" t="str">
        <f t="shared" si="0"/>
        <v>James</v>
      </c>
      <c r="C454" s="27" t="s">
        <v>198</v>
      </c>
      <c r="D454" s="27" t="s">
        <v>3070</v>
      </c>
      <c r="E454" s="28" t="str">
        <f t="shared" si="1"/>
        <v>Yu</v>
      </c>
      <c r="F454" s="28" t="str">
        <f t="shared" si="2"/>
        <v>James Yu</v>
      </c>
      <c r="G454" s="27" t="s">
        <v>210</v>
      </c>
      <c r="H454" s="27" t="str">
        <f t="shared" si="3"/>
        <v>Male</v>
      </c>
      <c r="I454" s="27" t="s">
        <v>3071</v>
      </c>
      <c r="J454" s="27" t="s">
        <v>414</v>
      </c>
      <c r="K454" s="27" t="s">
        <v>415</v>
      </c>
      <c r="L454" s="27">
        <v>30338</v>
      </c>
      <c r="M454" s="28" t="str">
        <f t="shared" si="4"/>
        <v>2237 Elk Creek Road, Dunwoody, GA, 30338</v>
      </c>
      <c r="N454" s="27" t="s">
        <v>3072</v>
      </c>
      <c r="O454" s="27" t="s">
        <v>3073</v>
      </c>
      <c r="P454" s="28">
        <v>770</v>
      </c>
      <c r="Q454" s="28">
        <v>522</v>
      </c>
      <c r="R454" s="28">
        <v>3655</v>
      </c>
      <c r="S454" s="29" t="s">
        <v>3074</v>
      </c>
      <c r="T454" s="28">
        <v>480</v>
      </c>
    </row>
    <row r="455" spans="1:20" ht="14.25" customHeight="1">
      <c r="A455" s="27" t="s">
        <v>989</v>
      </c>
      <c r="B455" s="28" t="str">
        <f t="shared" si="0"/>
        <v>Charles</v>
      </c>
      <c r="C455" s="27" t="s">
        <v>300</v>
      </c>
      <c r="D455" s="27" t="s">
        <v>2302</v>
      </c>
      <c r="E455" s="28" t="str">
        <f t="shared" si="1"/>
        <v>Marshall</v>
      </c>
      <c r="F455" s="28" t="str">
        <f t="shared" si="2"/>
        <v>Charles Marshall</v>
      </c>
      <c r="G455" s="27" t="s">
        <v>210</v>
      </c>
      <c r="H455" s="27" t="str">
        <f t="shared" si="3"/>
        <v>Male</v>
      </c>
      <c r="I455" s="27" t="s">
        <v>3075</v>
      </c>
      <c r="J455" s="27" t="s">
        <v>400</v>
      </c>
      <c r="K455" s="27" t="s">
        <v>213</v>
      </c>
      <c r="L455" s="27">
        <v>90071</v>
      </c>
      <c r="M455" s="28" t="str">
        <f t="shared" si="4"/>
        <v>12 Canis Heights Drive, Los Angeles, CA, 90071</v>
      </c>
      <c r="N455" s="27" t="s">
        <v>3076</v>
      </c>
      <c r="O455" s="27" t="s">
        <v>3077</v>
      </c>
      <c r="P455" s="28">
        <v>213</v>
      </c>
      <c r="Q455" s="28">
        <v>617</v>
      </c>
      <c r="R455" s="28">
        <v>3930</v>
      </c>
      <c r="S455" s="29" t="s">
        <v>2207</v>
      </c>
      <c r="T455" s="28">
        <v>4081</v>
      </c>
    </row>
    <row r="456" spans="1:20" ht="14.25" customHeight="1">
      <c r="A456" s="27" t="s">
        <v>3078</v>
      </c>
      <c r="B456" s="28" t="str">
        <f t="shared" si="0"/>
        <v>Donald</v>
      </c>
      <c r="C456" s="27" t="s">
        <v>511</v>
      </c>
      <c r="D456" s="27" t="s">
        <v>1470</v>
      </c>
      <c r="E456" s="28" t="str">
        <f t="shared" si="1"/>
        <v>Murray</v>
      </c>
      <c r="F456" s="28" t="str">
        <f t="shared" si="2"/>
        <v>Donald Murray</v>
      </c>
      <c r="G456" s="27" t="s">
        <v>210</v>
      </c>
      <c r="H456" s="27" t="str">
        <f t="shared" si="3"/>
        <v>Male</v>
      </c>
      <c r="I456" s="27" t="s">
        <v>3079</v>
      </c>
      <c r="J456" s="27" t="s">
        <v>3080</v>
      </c>
      <c r="K456" s="27" t="s">
        <v>256</v>
      </c>
      <c r="L456" s="27">
        <v>75039</v>
      </c>
      <c r="M456" s="28" t="str">
        <f t="shared" si="4"/>
        <v>1429 Ash Street, Irving, TX, 75039</v>
      </c>
      <c r="N456" s="27" t="s">
        <v>3081</v>
      </c>
      <c r="O456" s="27" t="s">
        <v>3082</v>
      </c>
      <c r="P456" s="28">
        <v>972</v>
      </c>
      <c r="Q456" s="28">
        <v>871</v>
      </c>
      <c r="R456" s="28">
        <v>3664</v>
      </c>
      <c r="S456" s="29" t="s">
        <v>3083</v>
      </c>
      <c r="T456" s="28">
        <v>25</v>
      </c>
    </row>
    <row r="457" spans="1:20" ht="14.25" customHeight="1">
      <c r="A457" s="27" t="s">
        <v>3084</v>
      </c>
      <c r="B457" s="28" t="str">
        <f t="shared" si="0"/>
        <v>Jesusa</v>
      </c>
      <c r="C457" s="27" t="s">
        <v>292</v>
      </c>
      <c r="D457" s="27" t="s">
        <v>3085</v>
      </c>
      <c r="E457" s="28" t="str">
        <f t="shared" si="1"/>
        <v>Larsen</v>
      </c>
      <c r="F457" s="28" t="str">
        <f t="shared" si="2"/>
        <v>Jesusa Larsen</v>
      </c>
      <c r="G457" s="27" t="s">
        <v>200</v>
      </c>
      <c r="H457" s="27" t="str">
        <f t="shared" si="3"/>
        <v>Female</v>
      </c>
      <c r="I457" s="27" t="s">
        <v>3086</v>
      </c>
      <c r="J457" s="27" t="s">
        <v>3087</v>
      </c>
      <c r="K457" s="27" t="s">
        <v>469</v>
      </c>
      <c r="L457" s="27">
        <v>43044</v>
      </c>
      <c r="M457" s="28" t="str">
        <f t="shared" si="4"/>
        <v>2252 Crim Lane, Mechanicsburg, OH, 43044</v>
      </c>
      <c r="N457" s="27" t="s">
        <v>3088</v>
      </c>
      <c r="O457" s="27" t="s">
        <v>3089</v>
      </c>
      <c r="P457" s="28">
        <v>937</v>
      </c>
      <c r="Q457" s="28">
        <v>834</v>
      </c>
      <c r="R457" s="28">
        <v>6456</v>
      </c>
      <c r="S457" s="29" t="s">
        <v>3090</v>
      </c>
      <c r="T457" s="28">
        <v>7067</v>
      </c>
    </row>
    <row r="458" spans="1:20" ht="14.25" customHeight="1">
      <c r="A458" s="27" t="s">
        <v>3091</v>
      </c>
      <c r="B458" s="28" t="str">
        <f t="shared" si="0"/>
        <v>Howard</v>
      </c>
      <c r="C458" s="27" t="s">
        <v>198</v>
      </c>
      <c r="D458" s="27" t="s">
        <v>3092</v>
      </c>
      <c r="E458" s="28" t="str">
        <f t="shared" si="1"/>
        <v>Sykes</v>
      </c>
      <c r="F458" s="28" t="str">
        <f t="shared" si="2"/>
        <v>Howard Sykes</v>
      </c>
      <c r="G458" s="27" t="s">
        <v>210</v>
      </c>
      <c r="H458" s="27" t="str">
        <f t="shared" si="3"/>
        <v>Male</v>
      </c>
      <c r="I458" s="27" t="s">
        <v>3093</v>
      </c>
      <c r="J458" s="27" t="s">
        <v>3094</v>
      </c>
      <c r="K458" s="27" t="s">
        <v>239</v>
      </c>
      <c r="L458" s="27">
        <v>70113</v>
      </c>
      <c r="M458" s="28" t="str">
        <f t="shared" si="4"/>
        <v>3845 Swick Hill Street, New Orleans, LA, 70113</v>
      </c>
      <c r="N458" s="27" t="s">
        <v>3095</v>
      </c>
      <c r="O458" s="27" t="s">
        <v>3096</v>
      </c>
      <c r="P458" s="28">
        <v>985</v>
      </c>
      <c r="Q458" s="28">
        <v>255</v>
      </c>
      <c r="R458" s="28">
        <v>725</v>
      </c>
      <c r="S458" s="29" t="s">
        <v>3097</v>
      </c>
      <c r="T458" s="28">
        <v>2096</v>
      </c>
    </row>
    <row r="459" spans="1:20" ht="14.25" customHeight="1">
      <c r="A459" s="27" t="s">
        <v>3098</v>
      </c>
      <c r="B459" s="28" t="str">
        <f t="shared" si="0"/>
        <v>Guy</v>
      </c>
      <c r="C459" s="27" t="s">
        <v>235</v>
      </c>
      <c r="D459" s="27" t="s">
        <v>3099</v>
      </c>
      <c r="E459" s="28" t="str">
        <f t="shared" si="1"/>
        <v>Lent</v>
      </c>
      <c r="F459" s="28" t="str">
        <f t="shared" si="2"/>
        <v>Guy Lent</v>
      </c>
      <c r="G459" s="27" t="s">
        <v>210</v>
      </c>
      <c r="H459" s="27" t="str">
        <f t="shared" si="3"/>
        <v>Male</v>
      </c>
      <c r="I459" s="27" t="s">
        <v>3100</v>
      </c>
      <c r="J459" s="27" t="s">
        <v>1297</v>
      </c>
      <c r="K459" s="27" t="s">
        <v>1298</v>
      </c>
      <c r="L459" s="27">
        <v>96816</v>
      </c>
      <c r="M459" s="28" t="str">
        <f t="shared" si="4"/>
        <v>3898 Arron Smith Drive, Honolulu, HI, 96816</v>
      </c>
      <c r="N459" s="27" t="s">
        <v>3101</v>
      </c>
      <c r="O459" s="27" t="s">
        <v>3102</v>
      </c>
      <c r="P459" s="28">
        <v>808</v>
      </c>
      <c r="Q459" s="28">
        <v>397</v>
      </c>
      <c r="R459" s="28">
        <v>5315</v>
      </c>
      <c r="S459" s="29" t="s">
        <v>3103</v>
      </c>
      <c r="T459" s="28">
        <v>889</v>
      </c>
    </row>
    <row r="460" spans="1:20" ht="14.25" customHeight="1">
      <c r="A460" s="27" t="s">
        <v>234</v>
      </c>
      <c r="B460" s="28" t="str">
        <f t="shared" si="0"/>
        <v>John</v>
      </c>
      <c r="C460" s="27" t="s">
        <v>208</v>
      </c>
      <c r="D460" s="27" t="s">
        <v>2393</v>
      </c>
      <c r="E460" s="28" t="str">
        <f t="shared" si="1"/>
        <v>Jacobs</v>
      </c>
      <c r="F460" s="28" t="str">
        <f t="shared" si="2"/>
        <v>John Jacobs</v>
      </c>
      <c r="G460" s="27" t="s">
        <v>210</v>
      </c>
      <c r="H460" s="27" t="str">
        <f t="shared" si="3"/>
        <v>Male</v>
      </c>
      <c r="I460" s="27" t="s">
        <v>3104</v>
      </c>
      <c r="J460" s="27" t="s">
        <v>3105</v>
      </c>
      <c r="K460" s="27" t="s">
        <v>256</v>
      </c>
      <c r="L460" s="27">
        <v>76936</v>
      </c>
      <c r="M460" s="28" t="str">
        <f t="shared" si="4"/>
        <v>2270 Anthony Avenue, Eldorado, TX, 76936</v>
      </c>
      <c r="N460" s="27" t="s">
        <v>3106</v>
      </c>
      <c r="O460" s="27" t="s">
        <v>3107</v>
      </c>
      <c r="P460" s="28">
        <v>325</v>
      </c>
      <c r="Q460" s="28">
        <v>853</v>
      </c>
      <c r="R460" s="28">
        <v>1929</v>
      </c>
      <c r="S460" s="29" t="s">
        <v>3108</v>
      </c>
      <c r="T460" s="28">
        <v>7560</v>
      </c>
    </row>
    <row r="461" spans="1:20" ht="14.25" customHeight="1">
      <c r="A461" s="27" t="s">
        <v>1043</v>
      </c>
      <c r="B461" s="28" t="str">
        <f t="shared" si="0"/>
        <v>Linda</v>
      </c>
      <c r="C461" s="27" t="s">
        <v>300</v>
      </c>
      <c r="D461" s="27" t="s">
        <v>830</v>
      </c>
      <c r="E461" s="28" t="str">
        <f t="shared" si="1"/>
        <v>Harris</v>
      </c>
      <c r="F461" s="28" t="str">
        <f t="shared" si="2"/>
        <v>Linda Harris</v>
      </c>
      <c r="G461" s="27" t="s">
        <v>200</v>
      </c>
      <c r="H461" s="27" t="str">
        <f t="shared" si="3"/>
        <v>Female</v>
      </c>
      <c r="I461" s="27" t="s">
        <v>3109</v>
      </c>
      <c r="J461" s="27" t="s">
        <v>825</v>
      </c>
      <c r="K461" s="27" t="s">
        <v>469</v>
      </c>
      <c r="L461" s="27">
        <v>44109</v>
      </c>
      <c r="M461" s="28" t="str">
        <f t="shared" si="4"/>
        <v>3620 Sunny Glen Lane, Cleveland, OH, 44109</v>
      </c>
      <c r="N461" s="27" t="s">
        <v>3110</v>
      </c>
      <c r="O461" s="27" t="s">
        <v>3111</v>
      </c>
      <c r="P461" s="28">
        <v>216</v>
      </c>
      <c r="Q461" s="28">
        <v>741</v>
      </c>
      <c r="R461" s="28">
        <v>1378</v>
      </c>
      <c r="S461" s="29" t="s">
        <v>3112</v>
      </c>
      <c r="T461" s="28">
        <v>3187</v>
      </c>
    </row>
    <row r="462" spans="1:20" ht="14.25" customHeight="1">
      <c r="A462" s="27" t="s">
        <v>639</v>
      </c>
      <c r="B462" s="28" t="str">
        <f t="shared" si="0"/>
        <v>David</v>
      </c>
      <c r="C462" s="27" t="s">
        <v>198</v>
      </c>
      <c r="D462" s="27" t="s">
        <v>1963</v>
      </c>
      <c r="E462" s="28" t="str">
        <f t="shared" si="1"/>
        <v>Robinson</v>
      </c>
      <c r="F462" s="28" t="str">
        <f t="shared" si="2"/>
        <v>David Robinson</v>
      </c>
      <c r="G462" s="27" t="s">
        <v>210</v>
      </c>
      <c r="H462" s="27" t="str">
        <f t="shared" si="3"/>
        <v>Male</v>
      </c>
      <c r="I462" s="27" t="s">
        <v>3113</v>
      </c>
      <c r="J462" s="27" t="s">
        <v>360</v>
      </c>
      <c r="K462" s="27" t="s">
        <v>256</v>
      </c>
      <c r="L462" s="27">
        <v>77014</v>
      </c>
      <c r="M462" s="28" t="str">
        <f t="shared" si="4"/>
        <v>1515 Bird Spring Lane, Houston, TX, 77014</v>
      </c>
      <c r="N462" s="27" t="s">
        <v>3114</v>
      </c>
      <c r="O462" s="27" t="s">
        <v>3115</v>
      </c>
      <c r="P462" s="28">
        <v>281</v>
      </c>
      <c r="Q462" s="28">
        <v>587</v>
      </c>
      <c r="R462" s="28">
        <v>3822</v>
      </c>
      <c r="S462" s="29" t="s">
        <v>3116</v>
      </c>
      <c r="T462" s="28">
        <v>7324</v>
      </c>
    </row>
    <row r="463" spans="1:20" ht="14.25" customHeight="1">
      <c r="A463" s="27" t="s">
        <v>3117</v>
      </c>
      <c r="B463" s="28" t="str">
        <f t="shared" si="0"/>
        <v>Larry</v>
      </c>
      <c r="C463" s="27" t="s">
        <v>533</v>
      </c>
      <c r="D463" s="27" t="s">
        <v>3118</v>
      </c>
      <c r="E463" s="28" t="str">
        <f t="shared" si="1"/>
        <v>Higgin</v>
      </c>
      <c r="F463" s="28" t="str">
        <f t="shared" si="2"/>
        <v>Larry Higgin</v>
      </c>
      <c r="G463" s="27" t="s">
        <v>210</v>
      </c>
      <c r="H463" s="27" t="str">
        <f t="shared" si="3"/>
        <v>Male</v>
      </c>
      <c r="I463" s="27" t="s">
        <v>3119</v>
      </c>
      <c r="J463" s="27" t="s">
        <v>3120</v>
      </c>
      <c r="K463" s="27" t="s">
        <v>424</v>
      </c>
      <c r="L463" s="27">
        <v>27263</v>
      </c>
      <c r="M463" s="28" t="str">
        <f t="shared" si="4"/>
        <v>3602 Keyser Ridge Road, Archdale, NC, 27263</v>
      </c>
      <c r="N463" s="27" t="s">
        <v>3121</v>
      </c>
      <c r="O463" s="27" t="s">
        <v>3122</v>
      </c>
      <c r="P463" s="28">
        <v>336</v>
      </c>
      <c r="Q463" s="28">
        <v>434</v>
      </c>
      <c r="R463" s="28">
        <v>5443</v>
      </c>
      <c r="S463" s="29" t="s">
        <v>3123</v>
      </c>
      <c r="T463" s="28">
        <v>1104</v>
      </c>
    </row>
    <row r="464" spans="1:20" ht="14.25" customHeight="1">
      <c r="A464" s="27" t="s">
        <v>783</v>
      </c>
      <c r="B464" s="28" t="str">
        <f t="shared" si="0"/>
        <v>Mary</v>
      </c>
      <c r="C464" s="27" t="s">
        <v>208</v>
      </c>
      <c r="D464" s="27" t="s">
        <v>3124</v>
      </c>
      <c r="E464" s="28" t="str">
        <f t="shared" si="1"/>
        <v>Borders</v>
      </c>
      <c r="F464" s="28" t="str">
        <f t="shared" si="2"/>
        <v>Mary Borders</v>
      </c>
      <c r="G464" s="27" t="s">
        <v>200</v>
      </c>
      <c r="H464" s="27" t="str">
        <f t="shared" si="3"/>
        <v>Female</v>
      </c>
      <c r="I464" s="27" t="s">
        <v>3125</v>
      </c>
      <c r="J464" s="27" t="s">
        <v>3126</v>
      </c>
      <c r="K464" s="27" t="s">
        <v>1188</v>
      </c>
      <c r="L464" s="27">
        <v>29575</v>
      </c>
      <c r="M464" s="28" t="str">
        <f t="shared" si="4"/>
        <v>3103 Jerry Dove Drive, Myrtle Beach, SC, 29575</v>
      </c>
      <c r="N464" s="27" t="s">
        <v>3127</v>
      </c>
      <c r="O464" s="27" t="s">
        <v>3128</v>
      </c>
      <c r="P464" s="28">
        <v>843</v>
      </c>
      <c r="Q464" s="28">
        <v>424</v>
      </c>
      <c r="R464" s="28">
        <v>8460</v>
      </c>
      <c r="S464" s="29" t="s">
        <v>3129</v>
      </c>
      <c r="T464" s="28">
        <v>9855</v>
      </c>
    </row>
    <row r="465" spans="1:20" ht="14.25" customHeight="1">
      <c r="A465" s="27" t="s">
        <v>3130</v>
      </c>
      <c r="B465" s="28" t="str">
        <f t="shared" si="0"/>
        <v>Stephanie</v>
      </c>
      <c r="C465" s="27" t="s">
        <v>350</v>
      </c>
      <c r="D465" s="27" t="s">
        <v>3131</v>
      </c>
      <c r="E465" s="28" t="str">
        <f t="shared" si="1"/>
        <v>Tipler</v>
      </c>
      <c r="F465" s="28" t="str">
        <f t="shared" si="2"/>
        <v>Stephanie Tipler</v>
      </c>
      <c r="G465" s="27" t="s">
        <v>200</v>
      </c>
      <c r="H465" s="27" t="str">
        <f t="shared" si="3"/>
        <v>Female</v>
      </c>
      <c r="I465" s="27" t="s">
        <v>3132</v>
      </c>
      <c r="J465" s="27" t="s">
        <v>2731</v>
      </c>
      <c r="K465" s="27" t="s">
        <v>581</v>
      </c>
      <c r="L465" s="27">
        <v>21136</v>
      </c>
      <c r="M465" s="28" t="str">
        <f t="shared" si="4"/>
        <v>1172 Marie Street, Reisterstown, MD, 21136</v>
      </c>
      <c r="N465" s="27" t="s">
        <v>3133</v>
      </c>
      <c r="O465" s="27" t="s">
        <v>3134</v>
      </c>
      <c r="P465" s="28">
        <v>410</v>
      </c>
      <c r="Q465" s="28">
        <v>861</v>
      </c>
      <c r="R465" s="28">
        <v>3215</v>
      </c>
      <c r="S465" s="29" t="s">
        <v>3135</v>
      </c>
      <c r="T465" s="28">
        <v>4098</v>
      </c>
    </row>
    <row r="466" spans="1:20" ht="14.25" customHeight="1">
      <c r="A466" s="27" t="s">
        <v>3021</v>
      </c>
      <c r="B466" s="28" t="str">
        <f t="shared" si="0"/>
        <v>Derek</v>
      </c>
      <c r="C466" s="27" t="s">
        <v>300</v>
      </c>
      <c r="D466" s="27" t="s">
        <v>3136</v>
      </c>
      <c r="E466" s="28" t="str">
        <f t="shared" si="1"/>
        <v>Welch</v>
      </c>
      <c r="F466" s="28" t="str">
        <f t="shared" si="2"/>
        <v>Derek Welch</v>
      </c>
      <c r="G466" s="27" t="s">
        <v>210</v>
      </c>
      <c r="H466" s="27" t="str">
        <f t="shared" si="3"/>
        <v>Male</v>
      </c>
      <c r="I466" s="27" t="s">
        <v>3137</v>
      </c>
      <c r="J466" s="27" t="s">
        <v>3138</v>
      </c>
      <c r="K466" s="27" t="s">
        <v>1039</v>
      </c>
      <c r="L466" s="27">
        <v>98031</v>
      </c>
      <c r="M466" s="28" t="str">
        <f t="shared" si="4"/>
        <v>3019 Dale Avenue, Kent, WA, 98031</v>
      </c>
      <c r="N466" s="27" t="s">
        <v>3139</v>
      </c>
      <c r="O466" s="27" t="s">
        <v>3140</v>
      </c>
      <c r="P466" s="28">
        <v>253</v>
      </c>
      <c r="Q466" s="28">
        <v>852</v>
      </c>
      <c r="R466" s="28">
        <v>4052</v>
      </c>
      <c r="S466" s="29" t="s">
        <v>3141</v>
      </c>
      <c r="T466" s="28">
        <v>284</v>
      </c>
    </row>
    <row r="467" spans="1:20" ht="14.25" customHeight="1">
      <c r="A467" s="27" t="s">
        <v>3142</v>
      </c>
      <c r="B467" s="28" t="str">
        <f t="shared" si="0"/>
        <v>Scotty</v>
      </c>
      <c r="C467" s="27" t="s">
        <v>198</v>
      </c>
      <c r="D467" s="27" t="s">
        <v>3143</v>
      </c>
      <c r="E467" s="28" t="str">
        <f t="shared" si="1"/>
        <v>Horton</v>
      </c>
      <c r="F467" s="28" t="str">
        <f t="shared" si="2"/>
        <v>Scotty Horton</v>
      </c>
      <c r="G467" s="27" t="s">
        <v>210</v>
      </c>
      <c r="H467" s="27" t="str">
        <f t="shared" si="3"/>
        <v>Male</v>
      </c>
      <c r="I467" s="27" t="s">
        <v>3144</v>
      </c>
      <c r="J467" s="27" t="s">
        <v>3145</v>
      </c>
      <c r="K467" s="27" t="s">
        <v>213</v>
      </c>
      <c r="L467" s="27">
        <v>91739</v>
      </c>
      <c r="M467" s="28" t="str">
        <f t="shared" si="4"/>
        <v>4751 Gordon Street, Etiwanda, CA, 91739</v>
      </c>
      <c r="N467" s="27" t="s">
        <v>3146</v>
      </c>
      <c r="O467" s="27" t="s">
        <v>3147</v>
      </c>
      <c r="P467" s="28">
        <v>909</v>
      </c>
      <c r="Q467" s="28">
        <v>463</v>
      </c>
      <c r="R467" s="28">
        <v>852</v>
      </c>
      <c r="S467" s="29" t="s">
        <v>3148</v>
      </c>
      <c r="T467" s="28">
        <v>298</v>
      </c>
    </row>
    <row r="468" spans="1:20" ht="14.25" customHeight="1">
      <c r="A468" s="27" t="s">
        <v>2289</v>
      </c>
      <c r="B468" s="28" t="str">
        <f t="shared" si="0"/>
        <v>Lee</v>
      </c>
      <c r="C468" s="27" t="s">
        <v>226</v>
      </c>
      <c r="D468" s="27" t="s">
        <v>3149</v>
      </c>
      <c r="E468" s="28" t="str">
        <f t="shared" si="1"/>
        <v>Diaz</v>
      </c>
      <c r="F468" s="28" t="str">
        <f t="shared" si="2"/>
        <v>Lee Diaz</v>
      </c>
      <c r="G468" s="27" t="s">
        <v>210</v>
      </c>
      <c r="H468" s="27" t="str">
        <f t="shared" si="3"/>
        <v>Male</v>
      </c>
      <c r="I468" s="27" t="s">
        <v>3150</v>
      </c>
      <c r="J468" s="27" t="s">
        <v>2034</v>
      </c>
      <c r="K468" s="27" t="s">
        <v>272</v>
      </c>
      <c r="L468" s="27">
        <v>11530</v>
      </c>
      <c r="M468" s="28" t="str">
        <f t="shared" si="4"/>
        <v>2479 Turkey Pen Road, Garden City, NY, 11530</v>
      </c>
      <c r="N468" s="27" t="s">
        <v>3151</v>
      </c>
      <c r="O468" s="27" t="s">
        <v>3152</v>
      </c>
      <c r="P468" s="28">
        <v>917</v>
      </c>
      <c r="Q468" s="28">
        <v>299</v>
      </c>
      <c r="R468" s="28">
        <v>981</v>
      </c>
      <c r="S468" s="29" t="s">
        <v>3153</v>
      </c>
      <c r="T468" s="28">
        <v>6769</v>
      </c>
    </row>
    <row r="469" spans="1:20" ht="14.25" customHeight="1">
      <c r="A469" s="27" t="s">
        <v>308</v>
      </c>
      <c r="B469" s="28" t="str">
        <f t="shared" si="0"/>
        <v>Barbara</v>
      </c>
      <c r="C469" s="27" t="s">
        <v>429</v>
      </c>
      <c r="D469" s="27" t="s">
        <v>3154</v>
      </c>
      <c r="E469" s="28" t="str">
        <f t="shared" si="1"/>
        <v>Velazquez</v>
      </c>
      <c r="F469" s="28" t="str">
        <f t="shared" si="2"/>
        <v>Barbara Velazquez</v>
      </c>
      <c r="G469" s="27" t="s">
        <v>200</v>
      </c>
      <c r="H469" s="27" t="str">
        <f t="shared" si="3"/>
        <v>Female</v>
      </c>
      <c r="I469" s="27" t="s">
        <v>3155</v>
      </c>
      <c r="J469" s="27" t="s">
        <v>3156</v>
      </c>
      <c r="K469" s="27" t="s">
        <v>698</v>
      </c>
      <c r="L469" s="27">
        <v>38866</v>
      </c>
      <c r="M469" s="28" t="str">
        <f t="shared" si="4"/>
        <v>4739 Tanglewood Road, Saltillo, MS, 38866</v>
      </c>
      <c r="N469" s="27" t="s">
        <v>3157</v>
      </c>
      <c r="O469" s="27" t="s">
        <v>3158</v>
      </c>
      <c r="P469" s="28">
        <v>662</v>
      </c>
      <c r="Q469" s="28">
        <v>869</v>
      </c>
      <c r="R469" s="28">
        <v>6312</v>
      </c>
      <c r="S469" s="29" t="s">
        <v>3159</v>
      </c>
      <c r="T469" s="28">
        <v>9306</v>
      </c>
    </row>
    <row r="470" spans="1:20" ht="14.25" customHeight="1">
      <c r="A470" s="27" t="s">
        <v>3160</v>
      </c>
      <c r="B470" s="28" t="str">
        <f t="shared" si="0"/>
        <v>Sarah</v>
      </c>
      <c r="C470" s="27" t="s">
        <v>533</v>
      </c>
      <c r="D470" s="27" t="s">
        <v>703</v>
      </c>
      <c r="E470" s="28" t="str">
        <f t="shared" si="1"/>
        <v>Johnson</v>
      </c>
      <c r="F470" s="28" t="str">
        <f t="shared" si="2"/>
        <v>Sarah Johnson</v>
      </c>
      <c r="G470" s="27" t="s">
        <v>200</v>
      </c>
      <c r="H470" s="27" t="str">
        <f t="shared" si="3"/>
        <v>Female</v>
      </c>
      <c r="I470" s="27" t="s">
        <v>3161</v>
      </c>
      <c r="J470" s="27" t="s">
        <v>3162</v>
      </c>
      <c r="K470" s="27" t="s">
        <v>345</v>
      </c>
      <c r="L470" s="27">
        <v>37040</v>
      </c>
      <c r="M470" s="28" t="str">
        <f t="shared" si="4"/>
        <v>3648 Chenoweth Drive, Clarksville, TN, 37040</v>
      </c>
      <c r="N470" s="27" t="s">
        <v>3163</v>
      </c>
      <c r="O470" s="27" t="s">
        <v>3164</v>
      </c>
      <c r="P470" s="28">
        <v>931</v>
      </c>
      <c r="Q470" s="28">
        <v>503</v>
      </c>
      <c r="R470" s="28">
        <v>2978</v>
      </c>
      <c r="S470" s="29" t="s">
        <v>3165</v>
      </c>
      <c r="T470" s="28">
        <v>790</v>
      </c>
    </row>
    <row r="471" spans="1:20" ht="14.25" customHeight="1">
      <c r="A471" s="27" t="s">
        <v>428</v>
      </c>
      <c r="B471" s="28" t="str">
        <f t="shared" si="0"/>
        <v>Cynthia</v>
      </c>
      <c r="C471" s="27" t="s">
        <v>198</v>
      </c>
      <c r="D471" s="27" t="s">
        <v>534</v>
      </c>
      <c r="E471" s="28" t="str">
        <f t="shared" si="1"/>
        <v>Kizer</v>
      </c>
      <c r="F471" s="28" t="str">
        <f t="shared" si="2"/>
        <v>Cynthia Kizer</v>
      </c>
      <c r="G471" s="27" t="s">
        <v>200</v>
      </c>
      <c r="H471" s="27" t="str">
        <f t="shared" si="3"/>
        <v>Female</v>
      </c>
      <c r="I471" s="27" t="s">
        <v>3166</v>
      </c>
      <c r="J471" s="27" t="s">
        <v>3167</v>
      </c>
      <c r="K471" s="27" t="s">
        <v>203</v>
      </c>
      <c r="L471" s="27">
        <v>62294</v>
      </c>
      <c r="M471" s="28" t="str">
        <f t="shared" si="4"/>
        <v>777 College View, Troy, IL, 62294</v>
      </c>
      <c r="N471" s="27" t="s">
        <v>3168</v>
      </c>
      <c r="O471" s="27" t="s">
        <v>3169</v>
      </c>
      <c r="P471" s="28">
        <v>618</v>
      </c>
      <c r="Q471" s="28">
        <v>667</v>
      </c>
      <c r="R471" s="28">
        <v>5060</v>
      </c>
      <c r="S471" s="29" t="s">
        <v>3170</v>
      </c>
      <c r="T471" s="28">
        <v>9452</v>
      </c>
    </row>
    <row r="472" spans="1:20" ht="14.25" customHeight="1">
      <c r="A472" s="27" t="s">
        <v>1083</v>
      </c>
      <c r="B472" s="28" t="str">
        <f t="shared" si="0"/>
        <v>Christopher</v>
      </c>
      <c r="C472" s="27" t="s">
        <v>350</v>
      </c>
      <c r="D472" s="27" t="s">
        <v>3171</v>
      </c>
      <c r="E472" s="28" t="str">
        <f t="shared" si="1"/>
        <v>Dawson</v>
      </c>
      <c r="F472" s="28" t="str">
        <f t="shared" si="2"/>
        <v>Christopher Dawson</v>
      </c>
      <c r="G472" s="27" t="s">
        <v>210</v>
      </c>
      <c r="H472" s="27" t="str">
        <f t="shared" si="3"/>
        <v>Male</v>
      </c>
      <c r="I472" s="27" t="s">
        <v>3172</v>
      </c>
      <c r="J472" s="27" t="s">
        <v>3173</v>
      </c>
      <c r="K472" s="27" t="s">
        <v>385</v>
      </c>
      <c r="L472" s="27">
        <v>84104</v>
      </c>
      <c r="M472" s="28" t="str">
        <f t="shared" si="4"/>
        <v>2379 Lang Avenue, Salt Lake City, UT, 84104</v>
      </c>
      <c r="N472" s="27" t="s">
        <v>3174</v>
      </c>
      <c r="O472" s="27" t="s">
        <v>3175</v>
      </c>
      <c r="P472" s="28">
        <v>435</v>
      </c>
      <c r="Q472" s="28">
        <v>938</v>
      </c>
      <c r="R472" s="28">
        <v>4989</v>
      </c>
      <c r="S472" s="29" t="s">
        <v>3176</v>
      </c>
      <c r="T472" s="28">
        <v>3969</v>
      </c>
    </row>
    <row r="473" spans="1:20" ht="14.25" customHeight="1">
      <c r="A473" s="27" t="s">
        <v>1748</v>
      </c>
      <c r="B473" s="28" t="str">
        <f t="shared" si="0"/>
        <v>Bryan</v>
      </c>
      <c r="C473" s="27" t="s">
        <v>292</v>
      </c>
      <c r="D473" s="27" t="s">
        <v>1963</v>
      </c>
      <c r="E473" s="28" t="str">
        <f t="shared" si="1"/>
        <v>Robinson</v>
      </c>
      <c r="F473" s="28" t="str">
        <f t="shared" si="2"/>
        <v>Bryan Robinson</v>
      </c>
      <c r="G473" s="27" t="s">
        <v>210</v>
      </c>
      <c r="H473" s="27" t="str">
        <f t="shared" si="3"/>
        <v>Male</v>
      </c>
      <c r="I473" s="27" t="s">
        <v>3177</v>
      </c>
      <c r="J473" s="27" t="s">
        <v>2041</v>
      </c>
      <c r="K473" s="27" t="s">
        <v>221</v>
      </c>
      <c r="L473" s="27">
        <v>8070</v>
      </c>
      <c r="M473" s="28" t="str">
        <f t="shared" si="4"/>
        <v>1049 Prospect Street, Pennsville, NJ, 8070</v>
      </c>
      <c r="N473" s="27" t="s">
        <v>3178</v>
      </c>
      <c r="O473" s="27" t="s">
        <v>3179</v>
      </c>
      <c r="P473" s="28">
        <v>856</v>
      </c>
      <c r="Q473" s="28">
        <v>678</v>
      </c>
      <c r="R473" s="28">
        <v>5886</v>
      </c>
      <c r="S473" s="29" t="s">
        <v>3180</v>
      </c>
      <c r="T473" s="28">
        <v>905</v>
      </c>
    </row>
    <row r="474" spans="1:20" ht="14.25" customHeight="1">
      <c r="A474" s="27" t="s">
        <v>372</v>
      </c>
      <c r="B474" s="28" t="str">
        <f t="shared" si="0"/>
        <v>Patrick</v>
      </c>
      <c r="C474" s="27" t="s">
        <v>350</v>
      </c>
      <c r="D474" s="27" t="s">
        <v>3181</v>
      </c>
      <c r="E474" s="28" t="str">
        <f t="shared" si="1"/>
        <v>Dunson</v>
      </c>
      <c r="F474" s="28" t="str">
        <f t="shared" si="2"/>
        <v>Patrick Dunson</v>
      </c>
      <c r="G474" s="27" t="s">
        <v>210</v>
      </c>
      <c r="H474" s="27" t="str">
        <f t="shared" si="3"/>
        <v>Male</v>
      </c>
      <c r="I474" s="27" t="s">
        <v>3182</v>
      </c>
      <c r="J474" s="27" t="s">
        <v>2990</v>
      </c>
      <c r="K474" s="27" t="s">
        <v>515</v>
      </c>
      <c r="L474" s="27">
        <v>64131</v>
      </c>
      <c r="M474" s="28" t="str">
        <f t="shared" si="4"/>
        <v>3674 White Oak Drive, Kansas City, MO, 64131</v>
      </c>
      <c r="N474" s="27" t="s">
        <v>3183</v>
      </c>
      <c r="O474" s="27" t="s">
        <v>3184</v>
      </c>
      <c r="P474" s="28">
        <v>816</v>
      </c>
      <c r="Q474" s="28">
        <v>612</v>
      </c>
      <c r="R474" s="28">
        <v>5450</v>
      </c>
      <c r="S474" s="29" t="s">
        <v>3185</v>
      </c>
      <c r="T474" s="28">
        <v>718</v>
      </c>
    </row>
    <row r="475" spans="1:20" ht="14.25" customHeight="1">
      <c r="A475" s="27" t="s">
        <v>639</v>
      </c>
      <c r="B475" s="28" t="str">
        <f t="shared" si="0"/>
        <v>David</v>
      </c>
      <c r="C475" s="27" t="s">
        <v>198</v>
      </c>
      <c r="D475" s="27" t="s">
        <v>3186</v>
      </c>
      <c r="E475" s="28" t="str">
        <f t="shared" si="1"/>
        <v>Gilman</v>
      </c>
      <c r="F475" s="28" t="str">
        <f t="shared" si="2"/>
        <v>David Gilman</v>
      </c>
      <c r="G475" s="27" t="s">
        <v>210</v>
      </c>
      <c r="H475" s="27" t="str">
        <f t="shared" si="3"/>
        <v>Male</v>
      </c>
      <c r="I475" s="27" t="s">
        <v>3187</v>
      </c>
      <c r="J475" s="27" t="s">
        <v>400</v>
      </c>
      <c r="K475" s="27" t="s">
        <v>213</v>
      </c>
      <c r="L475" s="27">
        <v>90071</v>
      </c>
      <c r="M475" s="28" t="str">
        <f t="shared" si="4"/>
        <v>591 Brannon Street, Los Angeles, CA, 90071</v>
      </c>
      <c r="N475" s="27" t="s">
        <v>3188</v>
      </c>
      <c r="O475" s="27" t="s">
        <v>3189</v>
      </c>
      <c r="P475" s="28">
        <v>213</v>
      </c>
      <c r="Q475" s="28">
        <v>347</v>
      </c>
      <c r="R475" s="28">
        <v>9293</v>
      </c>
      <c r="S475" s="29" t="s">
        <v>3190</v>
      </c>
      <c r="T475" s="28">
        <v>8017</v>
      </c>
    </row>
    <row r="476" spans="1:20" ht="14.25" customHeight="1">
      <c r="A476" s="27" t="s">
        <v>1002</v>
      </c>
      <c r="B476" s="28" t="str">
        <f t="shared" si="0"/>
        <v>Ronald</v>
      </c>
      <c r="C476" s="27" t="s">
        <v>198</v>
      </c>
      <c r="D476" s="27" t="s">
        <v>3191</v>
      </c>
      <c r="E476" s="28" t="str">
        <f t="shared" si="1"/>
        <v>Sawyer</v>
      </c>
      <c r="F476" s="28" t="str">
        <f t="shared" si="2"/>
        <v>Ronald Sawyer</v>
      </c>
      <c r="G476" s="27" t="s">
        <v>200</v>
      </c>
      <c r="H476" s="27" t="str">
        <f t="shared" si="3"/>
        <v>Female</v>
      </c>
      <c r="I476" s="27" t="s">
        <v>3192</v>
      </c>
      <c r="J476" s="27" t="s">
        <v>1325</v>
      </c>
      <c r="K476" s="27" t="s">
        <v>272</v>
      </c>
      <c r="L476" s="27">
        <v>10011</v>
      </c>
      <c r="M476" s="28" t="str">
        <f t="shared" si="4"/>
        <v>1477 Morningview Lane, New York, NY, 10011</v>
      </c>
      <c r="N476" s="27" t="s">
        <v>3193</v>
      </c>
      <c r="O476" s="27" t="s">
        <v>3194</v>
      </c>
      <c r="P476" s="28">
        <v>646</v>
      </c>
      <c r="Q476" s="28">
        <v>238</v>
      </c>
      <c r="R476" s="28">
        <v>5360</v>
      </c>
      <c r="S476" s="29" t="s">
        <v>3195</v>
      </c>
      <c r="T476" s="28">
        <v>265</v>
      </c>
    </row>
    <row r="477" spans="1:20" ht="14.25" customHeight="1">
      <c r="A477" s="27" t="s">
        <v>243</v>
      </c>
      <c r="B477" s="28" t="str">
        <f t="shared" si="0"/>
        <v>Joseph</v>
      </c>
      <c r="C477" s="27" t="s">
        <v>334</v>
      </c>
      <c r="D477" s="27" t="s">
        <v>809</v>
      </c>
      <c r="E477" s="28" t="str">
        <f t="shared" si="1"/>
        <v>Oliver</v>
      </c>
      <c r="F477" s="28" t="str">
        <f t="shared" si="2"/>
        <v>Joseph Oliver</v>
      </c>
      <c r="G477" s="27" t="s">
        <v>210</v>
      </c>
      <c r="H477" s="27" t="str">
        <f t="shared" si="3"/>
        <v>Male</v>
      </c>
      <c r="I477" s="27" t="s">
        <v>3196</v>
      </c>
      <c r="J477" s="27" t="s">
        <v>825</v>
      </c>
      <c r="K477" s="27" t="s">
        <v>469</v>
      </c>
      <c r="L477" s="27">
        <v>44115</v>
      </c>
      <c r="M477" s="28" t="str">
        <f t="shared" si="4"/>
        <v>3294 Glenwood Avenue, Cleveland, OH, 44115</v>
      </c>
      <c r="N477" s="27" t="s">
        <v>3197</v>
      </c>
      <c r="O477" s="27" t="s">
        <v>3198</v>
      </c>
      <c r="P477" s="28">
        <v>216</v>
      </c>
      <c r="Q477" s="28">
        <v>263</v>
      </c>
      <c r="R477" s="28">
        <v>2475</v>
      </c>
      <c r="S477" s="29" t="s">
        <v>3199</v>
      </c>
      <c r="T477" s="28">
        <v>495</v>
      </c>
    </row>
    <row r="478" spans="1:20" ht="14.25" customHeight="1">
      <c r="A478" s="27" t="s">
        <v>2251</v>
      </c>
      <c r="B478" s="28" t="str">
        <f t="shared" si="0"/>
        <v>Carl</v>
      </c>
      <c r="C478" s="27" t="s">
        <v>198</v>
      </c>
      <c r="D478" s="27" t="s">
        <v>3200</v>
      </c>
      <c r="E478" s="28" t="str">
        <f t="shared" si="1"/>
        <v>Weis</v>
      </c>
      <c r="F478" s="28" t="str">
        <f t="shared" si="2"/>
        <v>Carl Weis</v>
      </c>
      <c r="G478" s="27" t="s">
        <v>210</v>
      </c>
      <c r="H478" s="27" t="str">
        <f t="shared" si="3"/>
        <v>Male</v>
      </c>
      <c r="I478" s="27" t="s">
        <v>3201</v>
      </c>
      <c r="J478" s="27" t="s">
        <v>3202</v>
      </c>
      <c r="K478" s="27" t="s">
        <v>1065</v>
      </c>
      <c r="L478" s="27">
        <v>66438</v>
      </c>
      <c r="M478" s="28" t="str">
        <f t="shared" si="4"/>
        <v>509 Maloy Court, Home, KS, 66438</v>
      </c>
      <c r="N478" s="27" t="s">
        <v>3203</v>
      </c>
      <c r="O478" s="27" t="s">
        <v>3204</v>
      </c>
      <c r="P478" s="28">
        <v>785</v>
      </c>
      <c r="Q478" s="28">
        <v>382</v>
      </c>
      <c r="R478" s="28">
        <v>4302</v>
      </c>
      <c r="S478" s="29" t="s">
        <v>3205</v>
      </c>
      <c r="T478" s="28">
        <v>6500</v>
      </c>
    </row>
    <row r="479" spans="1:20" ht="14.25" customHeight="1">
      <c r="A479" s="27" t="s">
        <v>3206</v>
      </c>
      <c r="B479" s="28" t="str">
        <f t="shared" si="0"/>
        <v>Norma</v>
      </c>
      <c r="C479" s="27" t="s">
        <v>1011</v>
      </c>
      <c r="D479" s="27" t="s">
        <v>3207</v>
      </c>
      <c r="E479" s="28" t="str">
        <f t="shared" si="1"/>
        <v>Folden</v>
      </c>
      <c r="F479" s="28" t="str">
        <f t="shared" si="2"/>
        <v>Norma Folden</v>
      </c>
      <c r="G479" s="27" t="s">
        <v>200</v>
      </c>
      <c r="H479" s="27" t="str">
        <f t="shared" si="3"/>
        <v>Female</v>
      </c>
      <c r="I479" s="27" t="s">
        <v>3208</v>
      </c>
      <c r="J479" s="27" t="s">
        <v>2565</v>
      </c>
      <c r="K479" s="27" t="s">
        <v>213</v>
      </c>
      <c r="L479" s="27">
        <v>91502</v>
      </c>
      <c r="M479" s="28" t="str">
        <f t="shared" si="4"/>
        <v>1037 Edsel Road, Burbank, CA, 91502</v>
      </c>
      <c r="N479" s="27" t="s">
        <v>3209</v>
      </c>
      <c r="O479" s="27" t="s">
        <v>3210</v>
      </c>
      <c r="P479" s="28">
        <v>818</v>
      </c>
      <c r="Q479" s="28">
        <v>488</v>
      </c>
      <c r="R479" s="28">
        <v>1368</v>
      </c>
      <c r="S479" s="29" t="s">
        <v>3211</v>
      </c>
      <c r="T479" s="28">
        <v>3929</v>
      </c>
    </row>
    <row r="480" spans="1:20" ht="14.25" customHeight="1">
      <c r="A480" s="27" t="s">
        <v>3078</v>
      </c>
      <c r="B480" s="28" t="str">
        <f t="shared" si="0"/>
        <v>Donald</v>
      </c>
      <c r="C480" s="27" t="s">
        <v>381</v>
      </c>
      <c r="D480" s="27" t="s">
        <v>3212</v>
      </c>
      <c r="E480" s="28" t="str">
        <f t="shared" si="1"/>
        <v>Blevins</v>
      </c>
      <c r="F480" s="28" t="str">
        <f t="shared" si="2"/>
        <v>Donald Blevins</v>
      </c>
      <c r="G480" s="27" t="s">
        <v>210</v>
      </c>
      <c r="H480" s="27" t="str">
        <f t="shared" si="3"/>
        <v>Male</v>
      </c>
      <c r="I480" s="27" t="s">
        <v>3213</v>
      </c>
      <c r="J480" s="27" t="s">
        <v>3214</v>
      </c>
      <c r="K480" s="27" t="s">
        <v>650</v>
      </c>
      <c r="L480" s="27">
        <v>74120</v>
      </c>
      <c r="M480" s="28" t="str">
        <f t="shared" si="4"/>
        <v>1804 Camel Back Road, Tulsa, OK, 74120</v>
      </c>
      <c r="N480" s="27" t="s">
        <v>3215</v>
      </c>
      <c r="O480" s="27" t="s">
        <v>3216</v>
      </c>
      <c r="P480" s="28">
        <v>918</v>
      </c>
      <c r="Q480" s="28">
        <v>581</v>
      </c>
      <c r="R480" s="28">
        <v>6967</v>
      </c>
      <c r="S480" s="29" t="s">
        <v>3217</v>
      </c>
      <c r="T480" s="28">
        <v>3494</v>
      </c>
    </row>
    <row r="481" spans="1:20" ht="14.25" customHeight="1">
      <c r="A481" s="27" t="s">
        <v>1205</v>
      </c>
      <c r="B481" s="28" t="str">
        <f t="shared" si="0"/>
        <v>Sam</v>
      </c>
      <c r="C481" s="27" t="s">
        <v>381</v>
      </c>
      <c r="D481" s="27" t="s">
        <v>1989</v>
      </c>
      <c r="E481" s="28" t="str">
        <f t="shared" si="1"/>
        <v>Perry</v>
      </c>
      <c r="F481" s="28" t="str">
        <f t="shared" si="2"/>
        <v>Sam Perry</v>
      </c>
      <c r="G481" s="27" t="s">
        <v>210</v>
      </c>
      <c r="H481" s="27" t="str">
        <f t="shared" si="3"/>
        <v>Male</v>
      </c>
      <c r="I481" s="27" t="s">
        <v>3218</v>
      </c>
      <c r="J481" s="27" t="s">
        <v>3173</v>
      </c>
      <c r="K481" s="27" t="s">
        <v>385</v>
      </c>
      <c r="L481" s="27">
        <v>84104</v>
      </c>
      <c r="M481" s="28" t="str">
        <f t="shared" si="4"/>
        <v>4565 Philadelphia Avenue, Salt Lake City, UT, 84104</v>
      </c>
      <c r="N481" s="27" t="s">
        <v>3219</v>
      </c>
      <c r="O481" s="27" t="s">
        <v>3220</v>
      </c>
      <c r="P481" s="28">
        <v>801</v>
      </c>
      <c r="Q481" s="28">
        <v>301</v>
      </c>
      <c r="R481" s="28">
        <v>3595</v>
      </c>
      <c r="S481" s="29" t="s">
        <v>3221</v>
      </c>
      <c r="T481" s="28">
        <v>836</v>
      </c>
    </row>
    <row r="482" spans="1:20" ht="14.25" customHeight="1">
      <c r="A482" s="27" t="s">
        <v>2919</v>
      </c>
      <c r="B482" s="28" t="str">
        <f t="shared" si="0"/>
        <v>Frances</v>
      </c>
      <c r="C482" s="27" t="s">
        <v>208</v>
      </c>
      <c r="D482" s="27" t="s">
        <v>3222</v>
      </c>
      <c r="E482" s="28" t="str">
        <f t="shared" si="1"/>
        <v>Coleman</v>
      </c>
      <c r="F482" s="28" t="str">
        <f t="shared" si="2"/>
        <v>Frances Coleman</v>
      </c>
      <c r="G482" s="27" t="s">
        <v>200</v>
      </c>
      <c r="H482" s="27" t="str">
        <f t="shared" si="3"/>
        <v>Female</v>
      </c>
      <c r="I482" s="27" t="s">
        <v>3223</v>
      </c>
      <c r="J482" s="27" t="s">
        <v>3224</v>
      </c>
      <c r="K482" s="27" t="s">
        <v>230</v>
      </c>
      <c r="L482" s="27">
        <v>23502</v>
      </c>
      <c r="M482" s="28" t="str">
        <f t="shared" si="4"/>
        <v>2198 Pinchelone Street, Norfolk, VA, 23502</v>
      </c>
      <c r="N482" s="27" t="s">
        <v>3225</v>
      </c>
      <c r="O482" s="27" t="s">
        <v>3226</v>
      </c>
      <c r="P482" s="28">
        <v>757</v>
      </c>
      <c r="Q482" s="28">
        <v>371</v>
      </c>
      <c r="R482" s="28">
        <v>8587</v>
      </c>
      <c r="S482" s="29" t="s">
        <v>3227</v>
      </c>
      <c r="T482" s="28">
        <v>114</v>
      </c>
    </row>
    <row r="483" spans="1:20" ht="14.25" customHeight="1">
      <c r="A483" s="27" t="s">
        <v>639</v>
      </c>
      <c r="B483" s="28" t="str">
        <f t="shared" si="0"/>
        <v>David</v>
      </c>
      <c r="C483" s="27" t="s">
        <v>208</v>
      </c>
      <c r="D483" s="27" t="s">
        <v>599</v>
      </c>
      <c r="E483" s="28" t="str">
        <f t="shared" si="1"/>
        <v>Williams</v>
      </c>
      <c r="F483" s="28" t="str">
        <f t="shared" si="2"/>
        <v>David Williams</v>
      </c>
      <c r="G483" s="27" t="s">
        <v>210</v>
      </c>
      <c r="H483" s="27" t="str">
        <f t="shared" si="3"/>
        <v>Male</v>
      </c>
      <c r="I483" s="27" t="s">
        <v>3228</v>
      </c>
      <c r="J483" s="27" t="s">
        <v>3229</v>
      </c>
      <c r="K483" s="27" t="s">
        <v>213</v>
      </c>
      <c r="L483" s="27">
        <v>95204</v>
      </c>
      <c r="M483" s="28" t="str">
        <f t="shared" si="4"/>
        <v>1202 Freed Drive, Stockton, CA, 95204</v>
      </c>
      <c r="N483" s="27" t="s">
        <v>3230</v>
      </c>
      <c r="O483" s="27" t="s">
        <v>3231</v>
      </c>
      <c r="P483" s="28">
        <v>209</v>
      </c>
      <c r="Q483" s="28">
        <v>774</v>
      </c>
      <c r="R483" s="28">
        <v>2113</v>
      </c>
      <c r="S483" s="29" t="s">
        <v>3232</v>
      </c>
      <c r="T483" s="28">
        <v>861</v>
      </c>
    </row>
    <row r="484" spans="1:20" ht="14.25" customHeight="1">
      <c r="A484" s="27" t="s">
        <v>3233</v>
      </c>
      <c r="B484" s="28" t="str">
        <f t="shared" si="0"/>
        <v>Madeline</v>
      </c>
      <c r="C484" s="27" t="s">
        <v>465</v>
      </c>
      <c r="D484" s="27" t="s">
        <v>3234</v>
      </c>
      <c r="E484" s="28" t="str">
        <f t="shared" si="1"/>
        <v>Headley</v>
      </c>
      <c r="F484" s="28" t="str">
        <f t="shared" si="2"/>
        <v>Madeline Headley</v>
      </c>
      <c r="G484" s="27" t="s">
        <v>200</v>
      </c>
      <c r="H484" s="27" t="str">
        <f t="shared" si="3"/>
        <v>Female</v>
      </c>
      <c r="I484" s="27" t="s">
        <v>3235</v>
      </c>
      <c r="J484" s="27" t="s">
        <v>3236</v>
      </c>
      <c r="K484" s="27" t="s">
        <v>272</v>
      </c>
      <c r="L484" s="27">
        <v>13411</v>
      </c>
      <c r="M484" s="28" t="str">
        <f t="shared" si="4"/>
        <v>844 Browning Lane, New Berlin, NY, 13411</v>
      </c>
      <c r="N484" s="27" t="s">
        <v>3237</v>
      </c>
      <c r="O484" s="27" t="s">
        <v>3238</v>
      </c>
      <c r="P484" s="28">
        <v>607</v>
      </c>
      <c r="Q484" s="28">
        <v>847</v>
      </c>
      <c r="R484" s="28">
        <v>7803</v>
      </c>
      <c r="S484" s="29" t="s">
        <v>3239</v>
      </c>
      <c r="T484" s="28">
        <v>7789</v>
      </c>
    </row>
    <row r="485" spans="1:20" ht="14.25" customHeight="1">
      <c r="A485" s="27" t="s">
        <v>647</v>
      </c>
      <c r="B485" s="28" t="str">
        <f t="shared" si="0"/>
        <v>Gilbert</v>
      </c>
      <c r="C485" s="27" t="s">
        <v>309</v>
      </c>
      <c r="D485" s="27" t="s">
        <v>3171</v>
      </c>
      <c r="E485" s="28" t="str">
        <f t="shared" si="1"/>
        <v>Dawson</v>
      </c>
      <c r="F485" s="28" t="str">
        <f t="shared" si="2"/>
        <v>Gilbert Dawson</v>
      </c>
      <c r="G485" s="27" t="s">
        <v>210</v>
      </c>
      <c r="H485" s="27" t="str">
        <f t="shared" si="3"/>
        <v>Male</v>
      </c>
      <c r="I485" s="27" t="s">
        <v>3240</v>
      </c>
      <c r="J485" s="27" t="s">
        <v>353</v>
      </c>
      <c r="K485" s="27" t="s">
        <v>203</v>
      </c>
      <c r="L485" s="27">
        <v>60610</v>
      </c>
      <c r="M485" s="28" t="str">
        <f t="shared" si="4"/>
        <v>1032 Cecil Street, Chicago, IL, 60610</v>
      </c>
      <c r="N485" s="27" t="s">
        <v>3241</v>
      </c>
      <c r="O485" s="27" t="s">
        <v>3242</v>
      </c>
      <c r="P485" s="28">
        <v>312</v>
      </c>
      <c r="Q485" s="28">
        <v>274</v>
      </c>
      <c r="R485" s="28">
        <v>6550</v>
      </c>
      <c r="S485" s="29" t="s">
        <v>3243</v>
      </c>
      <c r="T485" s="28">
        <v>500</v>
      </c>
    </row>
    <row r="486" spans="1:20" ht="14.25" customHeight="1">
      <c r="A486" s="27" t="s">
        <v>1437</v>
      </c>
      <c r="B486" s="28" t="str">
        <f t="shared" si="0"/>
        <v>William</v>
      </c>
      <c r="C486" s="27" t="s">
        <v>226</v>
      </c>
      <c r="D486" s="27" t="s">
        <v>3244</v>
      </c>
      <c r="E486" s="28" t="str">
        <f t="shared" si="1"/>
        <v>Barber</v>
      </c>
      <c r="F486" s="28" t="str">
        <f t="shared" si="2"/>
        <v>William Barber</v>
      </c>
      <c r="G486" s="27" t="s">
        <v>210</v>
      </c>
      <c r="H486" s="27" t="str">
        <f t="shared" si="3"/>
        <v>Male</v>
      </c>
      <c r="I486" s="27" t="s">
        <v>3245</v>
      </c>
      <c r="J486" s="27" t="s">
        <v>3246</v>
      </c>
      <c r="K486" s="27" t="s">
        <v>609</v>
      </c>
      <c r="L486" s="27">
        <v>80227</v>
      </c>
      <c r="M486" s="28" t="str">
        <f t="shared" si="4"/>
        <v>591 Tavern Place, Lakewood, CO, 80227</v>
      </c>
      <c r="N486" s="27" t="s">
        <v>3247</v>
      </c>
      <c r="O486" s="27" t="s">
        <v>3248</v>
      </c>
      <c r="P486" s="28">
        <v>303</v>
      </c>
      <c r="Q486" s="28">
        <v>986</v>
      </c>
      <c r="R486" s="28">
        <v>6439</v>
      </c>
      <c r="S486" s="29" t="s">
        <v>3249</v>
      </c>
      <c r="T486" s="28">
        <v>4134</v>
      </c>
    </row>
    <row r="487" spans="1:20" ht="14.25" customHeight="1">
      <c r="A487" s="27" t="s">
        <v>3250</v>
      </c>
      <c r="B487" s="28" t="str">
        <f t="shared" si="0"/>
        <v>Leland</v>
      </c>
      <c r="C487" s="27" t="s">
        <v>198</v>
      </c>
      <c r="D487" s="27" t="s">
        <v>2289</v>
      </c>
      <c r="E487" s="28" t="str">
        <f t="shared" si="1"/>
        <v>Lee</v>
      </c>
      <c r="F487" s="28" t="str">
        <f t="shared" si="2"/>
        <v>Leland Lee</v>
      </c>
      <c r="G487" s="27" t="s">
        <v>210</v>
      </c>
      <c r="H487" s="27" t="str">
        <f t="shared" si="3"/>
        <v>Male</v>
      </c>
      <c r="I487" s="27" t="s">
        <v>3251</v>
      </c>
      <c r="J487" s="27" t="s">
        <v>811</v>
      </c>
      <c r="K487" s="27" t="s">
        <v>264</v>
      </c>
      <c r="L487" s="27">
        <v>35203</v>
      </c>
      <c r="M487" s="28" t="str">
        <f t="shared" si="4"/>
        <v>2636 Broad Street, Birmingham, AL, 35203</v>
      </c>
      <c r="N487" s="27" t="s">
        <v>3252</v>
      </c>
      <c r="O487" s="27" t="s">
        <v>3253</v>
      </c>
      <c r="P487" s="28">
        <v>205</v>
      </c>
      <c r="Q487" s="28">
        <v>442</v>
      </c>
      <c r="R487" s="28">
        <v>9042</v>
      </c>
      <c r="S487" s="29" t="s">
        <v>3254</v>
      </c>
      <c r="T487" s="28">
        <v>7956</v>
      </c>
    </row>
    <row r="488" spans="1:20" ht="14.25" customHeight="1">
      <c r="A488" s="27" t="s">
        <v>405</v>
      </c>
      <c r="B488" s="28" t="str">
        <f t="shared" si="0"/>
        <v>Taylor</v>
      </c>
      <c r="C488" s="27" t="s">
        <v>226</v>
      </c>
      <c r="D488" s="27" t="s">
        <v>922</v>
      </c>
      <c r="E488" s="28" t="str">
        <f t="shared" si="1"/>
        <v>Young</v>
      </c>
      <c r="F488" s="28" t="str">
        <f t="shared" si="2"/>
        <v>Taylor Young</v>
      </c>
      <c r="G488" s="27" t="s">
        <v>210</v>
      </c>
      <c r="H488" s="27" t="str">
        <f t="shared" si="3"/>
        <v>Male</v>
      </c>
      <c r="I488" s="27" t="s">
        <v>3255</v>
      </c>
      <c r="J488" s="27" t="s">
        <v>3256</v>
      </c>
      <c r="K488" s="27" t="s">
        <v>203</v>
      </c>
      <c r="L488" s="27">
        <v>61301</v>
      </c>
      <c r="M488" s="28" t="str">
        <f t="shared" si="4"/>
        <v>151 Emeral Dreams Drive, La Salle, IL, 61301</v>
      </c>
      <c r="N488" s="27" t="s">
        <v>3257</v>
      </c>
      <c r="O488" s="27" t="s">
        <v>3258</v>
      </c>
      <c r="P488" s="28">
        <v>815</v>
      </c>
      <c r="Q488" s="28">
        <v>224</v>
      </c>
      <c r="R488" s="28">
        <v>1168</v>
      </c>
      <c r="S488" s="29" t="s">
        <v>3259</v>
      </c>
      <c r="T488" s="28">
        <v>445</v>
      </c>
    </row>
    <row r="489" spans="1:20" ht="14.25" customHeight="1">
      <c r="A489" s="27" t="s">
        <v>1469</v>
      </c>
      <c r="B489" s="28" t="str">
        <f t="shared" si="0"/>
        <v>Lucy</v>
      </c>
      <c r="C489" s="27" t="s">
        <v>235</v>
      </c>
      <c r="D489" s="27" t="s">
        <v>3260</v>
      </c>
      <c r="E489" s="28" t="str">
        <f t="shared" si="1"/>
        <v>Delgado</v>
      </c>
      <c r="F489" s="28" t="str">
        <f t="shared" si="2"/>
        <v>Lucy Delgado</v>
      </c>
      <c r="G489" s="27" t="s">
        <v>200</v>
      </c>
      <c r="H489" s="27" t="str">
        <f t="shared" si="3"/>
        <v>Female</v>
      </c>
      <c r="I489" s="27" t="s">
        <v>3261</v>
      </c>
      <c r="J489" s="27" t="s">
        <v>3262</v>
      </c>
      <c r="K489" s="27" t="s">
        <v>3263</v>
      </c>
      <c r="L489" s="27">
        <v>88113</v>
      </c>
      <c r="M489" s="28" t="str">
        <f t="shared" si="4"/>
        <v>242 Byrd Lane, Causey, NM, 88113</v>
      </c>
      <c r="N489" s="27" t="s">
        <v>3264</v>
      </c>
      <c r="O489" s="27" t="s">
        <v>3265</v>
      </c>
      <c r="P489" s="28">
        <v>505</v>
      </c>
      <c r="Q489" s="28">
        <v>273</v>
      </c>
      <c r="R489" s="28">
        <v>1301</v>
      </c>
      <c r="S489" s="29" t="s">
        <v>3266</v>
      </c>
      <c r="T489" s="28">
        <v>5400</v>
      </c>
    </row>
    <row r="490" spans="1:20" ht="14.25" customHeight="1">
      <c r="A490" s="27" t="s">
        <v>3267</v>
      </c>
      <c r="B490" s="28" t="str">
        <f t="shared" si="0"/>
        <v>Tom</v>
      </c>
      <c r="C490" s="27" t="s">
        <v>235</v>
      </c>
      <c r="D490" s="27" t="s">
        <v>3268</v>
      </c>
      <c r="E490" s="28" t="str">
        <f t="shared" si="1"/>
        <v>Webb</v>
      </c>
      <c r="F490" s="28" t="str">
        <f t="shared" si="2"/>
        <v>Tom Webb</v>
      </c>
      <c r="G490" s="27" t="s">
        <v>210</v>
      </c>
      <c r="H490" s="27" t="str">
        <f t="shared" si="3"/>
        <v>Male</v>
      </c>
      <c r="I490" s="27" t="s">
        <v>3269</v>
      </c>
      <c r="J490" s="27" t="s">
        <v>3270</v>
      </c>
      <c r="K490" s="27" t="s">
        <v>1522</v>
      </c>
      <c r="L490" s="27">
        <v>59258</v>
      </c>
      <c r="M490" s="28" t="str">
        <f t="shared" si="4"/>
        <v>2451 Richison Drive, Reserve, MT, 59258</v>
      </c>
      <c r="N490" s="27" t="s">
        <v>3271</v>
      </c>
      <c r="O490" s="27" t="s">
        <v>3272</v>
      </c>
      <c r="P490" s="28">
        <v>406</v>
      </c>
      <c r="Q490" s="28">
        <v>286</v>
      </c>
      <c r="R490" s="28">
        <v>3178</v>
      </c>
      <c r="S490" s="29" t="s">
        <v>3273</v>
      </c>
      <c r="T490" s="28">
        <v>84</v>
      </c>
    </row>
    <row r="491" spans="1:20" ht="14.25" customHeight="1">
      <c r="A491" s="27" t="s">
        <v>1855</v>
      </c>
      <c r="B491" s="28" t="str">
        <f t="shared" si="0"/>
        <v>Frank</v>
      </c>
      <c r="C491" s="27" t="s">
        <v>334</v>
      </c>
      <c r="D491" s="27" t="s">
        <v>2002</v>
      </c>
      <c r="E491" s="28" t="str">
        <f t="shared" si="1"/>
        <v>Olson</v>
      </c>
      <c r="F491" s="28" t="str">
        <f t="shared" si="2"/>
        <v>Frank Olson</v>
      </c>
      <c r="G491" s="27" t="s">
        <v>210</v>
      </c>
      <c r="H491" s="27" t="str">
        <f t="shared" si="3"/>
        <v>Male</v>
      </c>
      <c r="I491" s="27" t="s">
        <v>3274</v>
      </c>
      <c r="J491" s="27" t="s">
        <v>1325</v>
      </c>
      <c r="K491" s="27" t="s">
        <v>272</v>
      </c>
      <c r="L491" s="27">
        <v>10011</v>
      </c>
      <c r="M491" s="28" t="str">
        <f t="shared" si="4"/>
        <v>129 Benedum Drive, New York, NY, 10011</v>
      </c>
      <c r="N491" s="27" t="s">
        <v>3275</v>
      </c>
      <c r="O491" s="27" t="s">
        <v>3276</v>
      </c>
      <c r="P491" s="28">
        <v>845</v>
      </c>
      <c r="Q491" s="28">
        <v>367</v>
      </c>
      <c r="R491" s="28">
        <v>9542</v>
      </c>
      <c r="S491" s="29" t="s">
        <v>3277</v>
      </c>
      <c r="T491" s="28">
        <v>370</v>
      </c>
    </row>
    <row r="492" spans="1:20" ht="14.25" customHeight="1">
      <c r="A492" s="27" t="s">
        <v>976</v>
      </c>
      <c r="B492" s="28" t="str">
        <f t="shared" si="0"/>
        <v>Kevin</v>
      </c>
      <c r="C492" s="27" t="s">
        <v>226</v>
      </c>
      <c r="D492" s="27" t="s">
        <v>3278</v>
      </c>
      <c r="E492" s="28" t="str">
        <f t="shared" si="1"/>
        <v>Tong</v>
      </c>
      <c r="F492" s="28" t="str">
        <f t="shared" si="2"/>
        <v>Kevin Tong</v>
      </c>
      <c r="G492" s="27" t="s">
        <v>210</v>
      </c>
      <c r="H492" s="27" t="str">
        <f t="shared" si="3"/>
        <v>Male</v>
      </c>
      <c r="I492" s="27" t="s">
        <v>3279</v>
      </c>
      <c r="J492" s="27" t="s">
        <v>2540</v>
      </c>
      <c r="K492" s="27" t="s">
        <v>469</v>
      </c>
      <c r="L492" s="27">
        <v>43613</v>
      </c>
      <c r="M492" s="28" t="str">
        <f t="shared" si="4"/>
        <v>4750 Cedarstone Drive, Toledo, OH, 43613</v>
      </c>
      <c r="N492" s="27" t="s">
        <v>3280</v>
      </c>
      <c r="O492" s="27" t="s">
        <v>3281</v>
      </c>
      <c r="P492" s="28">
        <v>419</v>
      </c>
      <c r="Q492" s="28">
        <v>407</v>
      </c>
      <c r="R492" s="28">
        <v>5401</v>
      </c>
      <c r="S492" s="29" t="s">
        <v>3282</v>
      </c>
      <c r="T492" s="28">
        <v>6791</v>
      </c>
    </row>
    <row r="493" spans="1:20" ht="14.25" customHeight="1">
      <c r="A493" s="27" t="s">
        <v>2295</v>
      </c>
      <c r="B493" s="28" t="str">
        <f t="shared" si="0"/>
        <v>Amy</v>
      </c>
      <c r="C493" s="27" t="s">
        <v>198</v>
      </c>
      <c r="D493" s="27" t="s">
        <v>3283</v>
      </c>
      <c r="E493" s="28" t="str">
        <f t="shared" si="1"/>
        <v>Carpenter</v>
      </c>
      <c r="F493" s="28" t="str">
        <f t="shared" si="2"/>
        <v>Amy Carpenter</v>
      </c>
      <c r="G493" s="27" t="s">
        <v>200</v>
      </c>
      <c r="H493" s="27" t="str">
        <f t="shared" si="3"/>
        <v>Female</v>
      </c>
      <c r="I493" s="27" t="s">
        <v>3284</v>
      </c>
      <c r="J493" s="27" t="s">
        <v>3285</v>
      </c>
      <c r="K493" s="27" t="s">
        <v>264</v>
      </c>
      <c r="L493" s="27">
        <v>36104</v>
      </c>
      <c r="M493" s="28" t="str">
        <f t="shared" si="4"/>
        <v>912 Turkey Pen Lane, Montgomery, AL, 36104</v>
      </c>
      <c r="N493" s="27" t="s">
        <v>3286</v>
      </c>
      <c r="O493" s="27" t="s">
        <v>3287</v>
      </c>
      <c r="P493" s="28">
        <v>334</v>
      </c>
      <c r="Q493" s="28">
        <v>549</v>
      </c>
      <c r="R493" s="28">
        <v>8128</v>
      </c>
      <c r="S493" s="29" t="s">
        <v>3288</v>
      </c>
      <c r="T493" s="28">
        <v>7013</v>
      </c>
    </row>
    <row r="494" spans="1:20" ht="14.25" customHeight="1">
      <c r="A494" s="27" t="s">
        <v>1437</v>
      </c>
      <c r="B494" s="28" t="str">
        <f t="shared" si="0"/>
        <v>William</v>
      </c>
      <c r="C494" s="27" t="s">
        <v>198</v>
      </c>
      <c r="D494" s="27" t="s">
        <v>2168</v>
      </c>
      <c r="E494" s="28" t="str">
        <f t="shared" si="1"/>
        <v>Hall</v>
      </c>
      <c r="F494" s="28" t="str">
        <f t="shared" si="2"/>
        <v>William Hall</v>
      </c>
      <c r="G494" s="27" t="s">
        <v>210</v>
      </c>
      <c r="H494" s="27" t="str">
        <f t="shared" si="3"/>
        <v>Male</v>
      </c>
      <c r="I494" s="27" t="s">
        <v>3289</v>
      </c>
      <c r="J494" s="27" t="s">
        <v>3290</v>
      </c>
      <c r="K494" s="27" t="s">
        <v>304</v>
      </c>
      <c r="L494" s="27">
        <v>2919</v>
      </c>
      <c r="M494" s="28" t="str">
        <f t="shared" si="4"/>
        <v>3989 Crummit Lane, Johnston, RI, 2919</v>
      </c>
      <c r="N494" s="27" t="s">
        <v>3291</v>
      </c>
      <c r="O494" s="27" t="s">
        <v>3292</v>
      </c>
      <c r="P494" s="28">
        <v>401</v>
      </c>
      <c r="Q494" s="28">
        <v>925</v>
      </c>
      <c r="R494" s="28">
        <v>8657</v>
      </c>
      <c r="S494" s="29" t="s">
        <v>3293</v>
      </c>
      <c r="T494" s="28">
        <v>248</v>
      </c>
    </row>
    <row r="495" spans="1:20" ht="14.25" customHeight="1">
      <c r="A495" s="27" t="s">
        <v>976</v>
      </c>
      <c r="B495" s="28" t="str">
        <f t="shared" si="0"/>
        <v>Kevin</v>
      </c>
      <c r="C495" s="27" t="s">
        <v>334</v>
      </c>
      <c r="D495" s="27" t="s">
        <v>3294</v>
      </c>
      <c r="E495" s="28" t="str">
        <f t="shared" si="1"/>
        <v>Mullen</v>
      </c>
      <c r="F495" s="28" t="str">
        <f t="shared" si="2"/>
        <v>Kevin Mullen</v>
      </c>
      <c r="G495" s="27" t="s">
        <v>210</v>
      </c>
      <c r="H495" s="27" t="str">
        <f t="shared" si="3"/>
        <v>Male</v>
      </c>
      <c r="I495" s="27" t="s">
        <v>3295</v>
      </c>
      <c r="J495" s="27" t="s">
        <v>3296</v>
      </c>
      <c r="K495" s="27" t="s">
        <v>698</v>
      </c>
      <c r="L495" s="27">
        <v>39531</v>
      </c>
      <c r="M495" s="28" t="str">
        <f t="shared" si="4"/>
        <v>2953 Coventry Court, Biloxi, MS, 39531</v>
      </c>
      <c r="N495" s="27" t="s">
        <v>3297</v>
      </c>
      <c r="O495" s="27" t="s">
        <v>3298</v>
      </c>
      <c r="P495" s="28">
        <v>228</v>
      </c>
      <c r="Q495" s="28">
        <v>222</v>
      </c>
      <c r="R495" s="28">
        <v>3010</v>
      </c>
      <c r="S495" s="29" t="s">
        <v>3299</v>
      </c>
      <c r="T495" s="28">
        <v>1488</v>
      </c>
    </row>
    <row r="496" spans="1:20" ht="14.25" customHeight="1">
      <c r="A496" s="27" t="s">
        <v>3300</v>
      </c>
      <c r="B496" s="28" t="str">
        <f t="shared" si="0"/>
        <v>Arthur</v>
      </c>
      <c r="C496" s="27" t="s">
        <v>198</v>
      </c>
      <c r="D496" s="27" t="s">
        <v>3301</v>
      </c>
      <c r="E496" s="28" t="str">
        <f t="shared" si="1"/>
        <v>Pharris</v>
      </c>
      <c r="F496" s="28" t="str">
        <f t="shared" si="2"/>
        <v>Arthur Pharris</v>
      </c>
      <c r="G496" s="27" t="s">
        <v>210</v>
      </c>
      <c r="H496" s="27" t="str">
        <f t="shared" si="3"/>
        <v>Male</v>
      </c>
      <c r="I496" s="27" t="s">
        <v>3302</v>
      </c>
      <c r="J496" s="27" t="s">
        <v>3303</v>
      </c>
      <c r="K496" s="27" t="s">
        <v>1065</v>
      </c>
      <c r="L496" s="27">
        <v>67202</v>
      </c>
      <c r="M496" s="28" t="str">
        <f t="shared" si="4"/>
        <v>1324 Roosevelt Road, Wichita, KS, 67202</v>
      </c>
      <c r="N496" s="27" t="s">
        <v>3304</v>
      </c>
      <c r="O496" s="27" t="s">
        <v>3305</v>
      </c>
      <c r="P496" s="28">
        <v>620</v>
      </c>
      <c r="Q496" s="28">
        <v>307</v>
      </c>
      <c r="R496" s="28">
        <v>819</v>
      </c>
      <c r="S496" s="29" t="s">
        <v>3306</v>
      </c>
      <c r="T496" s="28">
        <v>2255</v>
      </c>
    </row>
    <row r="497" spans="1:20" ht="14.25" customHeight="1">
      <c r="A497" s="27" t="s">
        <v>3307</v>
      </c>
      <c r="B497" s="28" t="str">
        <f t="shared" si="0"/>
        <v>Wayne</v>
      </c>
      <c r="C497" s="27" t="s">
        <v>300</v>
      </c>
      <c r="D497" s="27" t="s">
        <v>3308</v>
      </c>
      <c r="E497" s="28" t="str">
        <f t="shared" si="1"/>
        <v>Dray</v>
      </c>
      <c r="F497" s="28" t="str">
        <f t="shared" si="2"/>
        <v>Wayne Dray</v>
      </c>
      <c r="G497" s="27" t="s">
        <v>210</v>
      </c>
      <c r="H497" s="27" t="str">
        <f t="shared" si="3"/>
        <v>Male</v>
      </c>
      <c r="I497" s="27" t="s">
        <v>3309</v>
      </c>
      <c r="J497" s="27" t="s">
        <v>3310</v>
      </c>
      <c r="K497" s="27" t="s">
        <v>213</v>
      </c>
      <c r="L497" s="27">
        <v>95624</v>
      </c>
      <c r="M497" s="28" t="str">
        <f t="shared" si="4"/>
        <v>3578 Highland View Drive, Elk Grove, CA, 95624</v>
      </c>
      <c r="N497" s="27" t="s">
        <v>3311</v>
      </c>
      <c r="O497" s="27" t="s">
        <v>3312</v>
      </c>
      <c r="P497" s="28">
        <v>916</v>
      </c>
      <c r="Q497" s="28">
        <v>688</v>
      </c>
      <c r="R497" s="28">
        <v>8108</v>
      </c>
      <c r="S497" s="29" t="s">
        <v>3313</v>
      </c>
      <c r="T497" s="28">
        <v>677</v>
      </c>
    </row>
    <row r="498" spans="1:20" ht="14.25" customHeight="1">
      <c r="A498" s="27" t="s">
        <v>3314</v>
      </c>
      <c r="B498" s="28" t="str">
        <f t="shared" si="0"/>
        <v>Chance</v>
      </c>
      <c r="C498" s="27" t="s">
        <v>208</v>
      </c>
      <c r="D498" s="27" t="s">
        <v>3315</v>
      </c>
      <c r="E498" s="28" t="str">
        <f t="shared" si="1"/>
        <v>Crump</v>
      </c>
      <c r="F498" s="28" t="str">
        <f t="shared" si="2"/>
        <v>Chance Crump</v>
      </c>
      <c r="G498" s="27" t="s">
        <v>210</v>
      </c>
      <c r="H498" s="27" t="str">
        <f t="shared" si="3"/>
        <v>Male</v>
      </c>
      <c r="I498" s="27" t="s">
        <v>3316</v>
      </c>
      <c r="J498" s="27" t="s">
        <v>1793</v>
      </c>
      <c r="K498" s="27" t="s">
        <v>239</v>
      </c>
      <c r="L498" s="27">
        <v>70601</v>
      </c>
      <c r="M498" s="28" t="str">
        <f t="shared" si="4"/>
        <v>762 Sarah Drive, Lake Charles, LA, 70601</v>
      </c>
      <c r="N498" s="27" t="s">
        <v>3317</v>
      </c>
      <c r="O498" s="27" t="s">
        <v>3318</v>
      </c>
      <c r="P498" s="28">
        <v>337</v>
      </c>
      <c r="Q498" s="28">
        <v>503</v>
      </c>
      <c r="R498" s="28">
        <v>6181</v>
      </c>
      <c r="S498" s="29" t="s">
        <v>3319</v>
      </c>
      <c r="T498" s="28">
        <v>1426</v>
      </c>
    </row>
    <row r="499" spans="1:20" ht="14.25" customHeight="1">
      <c r="A499" s="27" t="s">
        <v>333</v>
      </c>
      <c r="B499" s="28" t="str">
        <f t="shared" si="0"/>
        <v>Julie</v>
      </c>
      <c r="C499" s="27" t="s">
        <v>350</v>
      </c>
      <c r="D499" s="27" t="s">
        <v>3320</v>
      </c>
      <c r="E499" s="28" t="str">
        <f t="shared" si="1"/>
        <v>Ross</v>
      </c>
      <c r="F499" s="28" t="str">
        <f t="shared" si="2"/>
        <v>Julie Ross</v>
      </c>
      <c r="G499" s="27" t="s">
        <v>200</v>
      </c>
      <c r="H499" s="27" t="str">
        <f t="shared" si="3"/>
        <v>Female</v>
      </c>
      <c r="I499" s="27" t="s">
        <v>3321</v>
      </c>
      <c r="J499" s="27" t="s">
        <v>1421</v>
      </c>
      <c r="K499" s="27" t="s">
        <v>203</v>
      </c>
      <c r="L499" s="27">
        <v>60090</v>
      </c>
      <c r="M499" s="28" t="str">
        <f t="shared" si="4"/>
        <v>1190 Hog Camp Road, Wheeling, IL, 60090</v>
      </c>
      <c r="N499" s="27" t="s">
        <v>3322</v>
      </c>
      <c r="O499" s="27" t="s">
        <v>3323</v>
      </c>
      <c r="P499" s="28">
        <v>708</v>
      </c>
      <c r="Q499" s="28">
        <v>435</v>
      </c>
      <c r="R499" s="28">
        <v>1491</v>
      </c>
      <c r="S499" s="29" t="s">
        <v>3324</v>
      </c>
      <c r="T499" s="28">
        <v>4804</v>
      </c>
    </row>
    <row r="500" spans="1:20" ht="14.25" customHeight="1">
      <c r="A500" s="27" t="s">
        <v>3325</v>
      </c>
      <c r="B500" s="28" t="str">
        <f t="shared" si="0"/>
        <v>Stacey</v>
      </c>
      <c r="C500" s="27" t="s">
        <v>511</v>
      </c>
      <c r="D500" s="27" t="s">
        <v>3326</v>
      </c>
      <c r="E500" s="28" t="str">
        <f t="shared" si="1"/>
        <v>Haynes</v>
      </c>
      <c r="F500" s="28" t="str">
        <f t="shared" si="2"/>
        <v>Stacey Haynes</v>
      </c>
      <c r="G500" s="27" t="s">
        <v>200</v>
      </c>
      <c r="H500" s="27" t="str">
        <f t="shared" si="3"/>
        <v>Female</v>
      </c>
      <c r="I500" s="27" t="s">
        <v>3327</v>
      </c>
      <c r="J500" s="27" t="s">
        <v>3328</v>
      </c>
      <c r="K500" s="27" t="s">
        <v>515</v>
      </c>
      <c r="L500" s="27">
        <v>66712</v>
      </c>
      <c r="M500" s="28" t="str">
        <f t="shared" si="4"/>
        <v>3039 Briarwood Road, Arma, MO, 66712</v>
      </c>
      <c r="N500" s="27" t="s">
        <v>3329</v>
      </c>
      <c r="O500" s="27" t="s">
        <v>3330</v>
      </c>
      <c r="P500" s="28">
        <v>417</v>
      </c>
      <c r="Q500" s="28">
        <v>769</v>
      </c>
      <c r="R500" s="28">
        <v>1953</v>
      </c>
      <c r="S500" s="29" t="s">
        <v>3331</v>
      </c>
      <c r="T500" s="28">
        <v>7444</v>
      </c>
    </row>
    <row r="501" spans="1:20" ht="14.25" customHeight="1">
      <c r="A501" s="27" t="s">
        <v>3332</v>
      </c>
      <c r="B501" s="28" t="str">
        <f t="shared" si="0"/>
        <v>Lucille</v>
      </c>
      <c r="C501" s="27" t="s">
        <v>300</v>
      </c>
      <c r="D501" s="27" t="s">
        <v>3333</v>
      </c>
      <c r="E501" s="28" t="str">
        <f t="shared" si="1"/>
        <v>Moss</v>
      </c>
      <c r="F501" s="28" t="str">
        <f t="shared" si="2"/>
        <v>Lucille Moss</v>
      </c>
      <c r="G501" s="27" t="s">
        <v>200</v>
      </c>
      <c r="H501" s="27" t="str">
        <f t="shared" si="3"/>
        <v>Female</v>
      </c>
      <c r="I501" s="27" t="s">
        <v>3334</v>
      </c>
      <c r="J501" s="27" t="s">
        <v>832</v>
      </c>
      <c r="K501" s="27" t="s">
        <v>581</v>
      </c>
      <c r="L501" s="27">
        <v>21201</v>
      </c>
      <c r="M501" s="28" t="str">
        <f t="shared" si="4"/>
        <v>1929 Beechwood Drive, Baltimore, MD, 21201</v>
      </c>
      <c r="N501" s="27" t="s">
        <v>3335</v>
      </c>
      <c r="O501" s="27" t="s">
        <v>3336</v>
      </c>
      <c r="P501" s="28">
        <v>410</v>
      </c>
      <c r="Q501" s="28">
        <v>972</v>
      </c>
      <c r="R501" s="28">
        <v>3074</v>
      </c>
      <c r="S501" s="29" t="s">
        <v>3337</v>
      </c>
      <c r="T501" s="28">
        <v>5196</v>
      </c>
    </row>
    <row r="502" spans="1:20" ht="14.25" customHeight="1"/>
    <row r="503" spans="1:20" ht="14.25" customHeight="1"/>
    <row r="504" spans="1:20" ht="14.25" customHeight="1"/>
    <row r="505" spans="1:20" ht="14.25" customHeight="1"/>
    <row r="506" spans="1:20" ht="14.25" customHeight="1"/>
    <row r="507" spans="1:20" ht="14.25" customHeight="1"/>
    <row r="508" spans="1:20" ht="14.25" customHeight="1"/>
    <row r="509" spans="1:20" ht="14.25" customHeight="1"/>
    <row r="510" spans="1:20" ht="14.25" customHeight="1"/>
    <row r="511" spans="1:20" ht="14.25" customHeight="1"/>
    <row r="512" spans="1:20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J1000"/>
  <sheetViews>
    <sheetView topLeftCell="A10" workbookViewId="0"/>
  </sheetViews>
  <sheetFormatPr defaultColWidth="14.44140625" defaultRowHeight="15" customHeight="1"/>
  <cols>
    <col min="1" max="1" width="9.33203125" customWidth="1"/>
    <col min="2" max="2" width="6" customWidth="1"/>
    <col min="3" max="3" width="11.109375" customWidth="1"/>
    <col min="4" max="5" width="9.6640625" customWidth="1"/>
    <col min="6" max="8" width="8.6640625" customWidth="1"/>
    <col min="9" max="9" width="39.44140625" customWidth="1"/>
    <col min="10" max="10" width="13.88671875" customWidth="1"/>
  </cols>
  <sheetData>
    <row r="1" spans="1:10" ht="14.25" customHeight="1">
      <c r="A1" s="23" t="s">
        <v>3338</v>
      </c>
      <c r="B1" s="23" t="s">
        <v>3339</v>
      </c>
      <c r="C1" s="23" t="s">
        <v>3340</v>
      </c>
      <c r="D1" s="23" t="s">
        <v>3341</v>
      </c>
      <c r="E1" s="23" t="s">
        <v>3342</v>
      </c>
    </row>
    <row r="2" spans="1:10" ht="14.25" customHeight="1">
      <c r="A2" s="29" t="s">
        <v>3343</v>
      </c>
      <c r="B2" s="29" t="s">
        <v>177</v>
      </c>
      <c r="C2" s="29" t="s">
        <v>3344</v>
      </c>
      <c r="D2" s="30">
        <v>18270</v>
      </c>
      <c r="E2" s="30">
        <v>22873</v>
      </c>
    </row>
    <row r="3" spans="1:10" ht="14.25" customHeight="1">
      <c r="A3" s="29" t="s">
        <v>3345</v>
      </c>
      <c r="B3" s="29" t="s">
        <v>177</v>
      </c>
      <c r="C3" s="29" t="s">
        <v>3344</v>
      </c>
      <c r="D3" s="30">
        <v>20510</v>
      </c>
      <c r="E3" s="30">
        <v>21279</v>
      </c>
    </row>
    <row r="4" spans="1:10" ht="14.25" customHeight="1">
      <c r="A4" s="29" t="s">
        <v>3346</v>
      </c>
      <c r="B4" s="29" t="s">
        <v>177</v>
      </c>
      <c r="C4" s="29" t="s">
        <v>3347</v>
      </c>
      <c r="D4" s="30">
        <v>15972</v>
      </c>
      <c r="E4" s="30">
        <v>13096</v>
      </c>
      <c r="I4" s="31" t="s">
        <v>3348</v>
      </c>
      <c r="J4" s="32">
        <f>MAX(E6:E11)</f>
        <v>25897</v>
      </c>
    </row>
    <row r="5" spans="1:10" ht="14.25" customHeight="1">
      <c r="A5" s="29" t="s">
        <v>3349</v>
      </c>
      <c r="B5" s="29" t="s">
        <v>177</v>
      </c>
      <c r="C5" s="29" t="s">
        <v>3347</v>
      </c>
      <c r="D5" s="30">
        <v>17347</v>
      </c>
      <c r="E5" s="30">
        <v>10990</v>
      </c>
    </row>
    <row r="6" spans="1:10" ht="14.25" customHeight="1">
      <c r="A6" s="29" t="s">
        <v>3350</v>
      </c>
      <c r="B6" s="29" t="s">
        <v>180</v>
      </c>
      <c r="C6" s="29" t="s">
        <v>3344</v>
      </c>
      <c r="D6" s="30">
        <v>19635</v>
      </c>
      <c r="E6" s="30">
        <v>10283</v>
      </c>
      <c r="I6" s="31" t="s">
        <v>3351</v>
      </c>
      <c r="J6" s="32">
        <f>MAX(E6:E8)</f>
        <v>15414</v>
      </c>
    </row>
    <row r="7" spans="1:10" ht="14.25" customHeight="1">
      <c r="A7" s="29" t="s">
        <v>116</v>
      </c>
      <c r="B7" s="29" t="s">
        <v>180</v>
      </c>
      <c r="C7" s="29" t="s">
        <v>3344</v>
      </c>
      <c r="D7" s="30">
        <v>13190</v>
      </c>
      <c r="E7" s="30">
        <v>15332</v>
      </c>
    </row>
    <row r="8" spans="1:10" ht="14.25" customHeight="1">
      <c r="A8" s="29" t="s">
        <v>3352</v>
      </c>
      <c r="B8" s="29" t="s">
        <v>180</v>
      </c>
      <c r="C8" s="29" t="s">
        <v>3344</v>
      </c>
      <c r="D8" s="30">
        <v>17585</v>
      </c>
      <c r="E8" s="30">
        <v>15414</v>
      </c>
      <c r="I8" s="31" t="s">
        <v>3353</v>
      </c>
      <c r="J8" s="32">
        <f>SUM(D2:E5)</f>
        <v>140337</v>
      </c>
    </row>
    <row r="9" spans="1:10" ht="14.25" customHeight="1">
      <c r="A9" s="29" t="s">
        <v>3354</v>
      </c>
      <c r="B9" s="29" t="s">
        <v>180</v>
      </c>
      <c r="C9" s="29" t="s">
        <v>3347</v>
      </c>
      <c r="D9" s="30">
        <v>19588</v>
      </c>
      <c r="E9" s="30">
        <v>21973</v>
      </c>
    </row>
    <row r="10" spans="1:10" ht="14.25" customHeight="1">
      <c r="A10" s="29" t="s">
        <v>3355</v>
      </c>
      <c r="B10" s="29" t="s">
        <v>180</v>
      </c>
      <c r="C10" s="29" t="s">
        <v>3347</v>
      </c>
      <c r="D10" s="30">
        <v>15769</v>
      </c>
      <c r="E10" s="30">
        <v>18721</v>
      </c>
    </row>
    <row r="11" spans="1:10" ht="14.25" customHeight="1">
      <c r="A11" s="29" t="s">
        <v>79</v>
      </c>
      <c r="B11" s="29" t="s">
        <v>180</v>
      </c>
      <c r="C11" s="29" t="s">
        <v>3347</v>
      </c>
      <c r="D11" s="30">
        <v>25347</v>
      </c>
      <c r="E11" s="30">
        <v>25897</v>
      </c>
    </row>
    <row r="12" spans="1:10" ht="14.25" customHeight="1">
      <c r="A12" s="29" t="s">
        <v>3356</v>
      </c>
      <c r="B12" s="29" t="s">
        <v>3357</v>
      </c>
      <c r="C12" s="29" t="s">
        <v>3344</v>
      </c>
      <c r="D12" s="30">
        <v>29120</v>
      </c>
      <c r="E12" s="30">
        <v>21824</v>
      </c>
    </row>
    <row r="13" spans="1:10" ht="14.25" customHeight="1">
      <c r="A13" s="29" t="s">
        <v>3358</v>
      </c>
      <c r="B13" s="29" t="s">
        <v>3357</v>
      </c>
      <c r="C13" s="29" t="s">
        <v>3344</v>
      </c>
      <c r="D13" s="30">
        <v>19325</v>
      </c>
      <c r="E13" s="30">
        <v>26697</v>
      </c>
    </row>
    <row r="14" spans="1:10" ht="14.25" customHeight="1">
      <c r="A14" s="29" t="s">
        <v>151</v>
      </c>
      <c r="B14" s="29" t="s">
        <v>3357</v>
      </c>
      <c r="C14" s="29" t="s">
        <v>3344</v>
      </c>
      <c r="D14" s="30">
        <v>23810</v>
      </c>
      <c r="E14" s="30">
        <v>28543</v>
      </c>
    </row>
    <row r="15" spans="1:10" ht="14.25" customHeight="1">
      <c r="A15" s="29" t="s">
        <v>3359</v>
      </c>
      <c r="B15" s="29" t="s">
        <v>3357</v>
      </c>
      <c r="C15" s="29" t="s">
        <v>3347</v>
      </c>
      <c r="D15" s="30">
        <v>26508</v>
      </c>
      <c r="E15" s="30">
        <v>28682</v>
      </c>
    </row>
    <row r="16" spans="1:10" ht="14.25" customHeight="1">
      <c r="A16" s="29" t="s">
        <v>3360</v>
      </c>
      <c r="B16" s="29" t="s">
        <v>3357</v>
      </c>
      <c r="C16" s="29" t="s">
        <v>3347</v>
      </c>
      <c r="D16" s="30">
        <v>17872</v>
      </c>
      <c r="E16" s="30">
        <v>17631</v>
      </c>
    </row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B1:E1000"/>
  <sheetViews>
    <sheetView workbookViewId="0"/>
  </sheetViews>
  <sheetFormatPr defaultColWidth="14.44140625" defaultRowHeight="15" customHeight="1"/>
  <cols>
    <col min="1" max="1" width="8.88671875" customWidth="1"/>
    <col min="2" max="2" width="24.5546875" customWidth="1"/>
    <col min="3" max="3" width="14.33203125" customWidth="1"/>
    <col min="4" max="4" width="8.88671875" customWidth="1"/>
    <col min="5" max="5" width="10.44140625" customWidth="1"/>
    <col min="6" max="6" width="8.88671875" customWidth="1"/>
  </cols>
  <sheetData>
    <row r="1" spans="2:5" ht="14.25" customHeight="1"/>
    <row r="2" spans="2:5" ht="14.25" customHeight="1">
      <c r="B2" s="33" t="s">
        <v>3361</v>
      </c>
      <c r="C2" s="33"/>
      <c r="D2" s="33"/>
      <c r="E2" s="33"/>
    </row>
    <row r="3" spans="2:5" ht="14.25" customHeight="1">
      <c r="B3" s="27" t="s">
        <v>3362</v>
      </c>
    </row>
    <row r="4" spans="2:5" ht="14.25" customHeight="1"/>
    <row r="5" spans="2:5" ht="14.25" customHeight="1">
      <c r="B5" s="85" t="s">
        <v>3363</v>
      </c>
      <c r="C5" s="76"/>
    </row>
    <row r="6" spans="2:5" ht="14.25" customHeight="1">
      <c r="B6" s="27" t="s">
        <v>3364</v>
      </c>
      <c r="C6" s="27">
        <v>6.99</v>
      </c>
    </row>
    <row r="7" spans="2:5" ht="14.25" customHeight="1">
      <c r="B7" s="27" t="s">
        <v>3365</v>
      </c>
      <c r="C7" s="34">
        <v>0.08</v>
      </c>
    </row>
    <row r="8" spans="2:5" ht="14.25" customHeight="1">
      <c r="B8" s="27" t="s">
        <v>3366</v>
      </c>
      <c r="C8" s="35">
        <v>2.99</v>
      </c>
    </row>
    <row r="9" spans="2:5" ht="14.25" customHeight="1"/>
    <row r="10" spans="2:5" ht="14.25" customHeight="1">
      <c r="B10" s="85" t="s">
        <v>3367</v>
      </c>
      <c r="C10" s="76"/>
    </row>
    <row r="11" spans="2:5" ht="14.25" customHeight="1">
      <c r="B11" s="27" t="s">
        <v>3368</v>
      </c>
      <c r="C11" s="36">
        <v>2906.3008602650543</v>
      </c>
    </row>
    <row r="12" spans="2:5" ht="14.25" customHeight="1">
      <c r="B12" s="27" t="s">
        <v>3369</v>
      </c>
      <c r="C12" s="37">
        <f>C11*C6</f>
        <v>20315.043013252729</v>
      </c>
    </row>
    <row r="13" spans="2:5" ht="14.25" customHeight="1">
      <c r="B13" s="27" t="s">
        <v>3365</v>
      </c>
      <c r="C13" s="37">
        <f>-C12*C7</f>
        <v>-1625.2034410602184</v>
      </c>
    </row>
    <row r="14" spans="2:5" ht="14.25" customHeight="1">
      <c r="B14" s="27" t="s">
        <v>3366</v>
      </c>
      <c r="C14" s="37">
        <f>-C11*C8</f>
        <v>-8689.8395721925135</v>
      </c>
    </row>
    <row r="15" spans="2:5" ht="14.25" customHeight="1">
      <c r="B15" s="38" t="s">
        <v>3370</v>
      </c>
      <c r="C15" s="39">
        <f>SUM(C12:C14)</f>
        <v>9999.9999999999982</v>
      </c>
    </row>
    <row r="16" spans="2:5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5:C5"/>
    <mergeCell ref="B10:C10"/>
  </mergeCells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B1:K1000"/>
  <sheetViews>
    <sheetView workbookViewId="0"/>
  </sheetViews>
  <sheetFormatPr defaultColWidth="14.44140625" defaultRowHeight="15" customHeight="1"/>
  <cols>
    <col min="1" max="1" width="11.88671875" customWidth="1"/>
    <col min="2" max="2" width="10.5546875" customWidth="1"/>
    <col min="3" max="3" width="16.109375" customWidth="1"/>
    <col min="4" max="4" width="9.6640625" customWidth="1"/>
    <col min="5" max="5" width="12.44140625" customWidth="1"/>
    <col min="6" max="11" width="11.88671875" customWidth="1"/>
  </cols>
  <sheetData>
    <row r="1" spans="2:11" ht="14.25" customHeight="1"/>
    <row r="2" spans="2:11" ht="14.25" customHeight="1">
      <c r="B2" s="33" t="s">
        <v>3371</v>
      </c>
      <c r="C2" s="40"/>
      <c r="D2" s="40"/>
      <c r="E2" s="40"/>
      <c r="G2" s="86" t="s">
        <v>3372</v>
      </c>
      <c r="H2" s="73"/>
      <c r="I2" s="73"/>
      <c r="J2" s="73"/>
      <c r="K2" s="73"/>
    </row>
    <row r="3" spans="2:11" ht="14.25" customHeight="1">
      <c r="B3" s="27" t="s">
        <v>3373</v>
      </c>
    </row>
    <row r="4" spans="2:11" ht="14.25" customHeight="1"/>
    <row r="5" spans="2:11" ht="14.25" customHeight="1">
      <c r="B5" s="41" t="s">
        <v>499</v>
      </c>
      <c r="C5" s="41" t="s">
        <v>3374</v>
      </c>
      <c r="D5" s="41" t="s">
        <v>3375</v>
      </c>
      <c r="E5" s="42" t="s">
        <v>3376</v>
      </c>
    </row>
    <row r="6" spans="2:11" ht="14.25" customHeight="1">
      <c r="B6" s="29">
        <v>1295</v>
      </c>
      <c r="C6" s="29" t="s">
        <v>3377</v>
      </c>
      <c r="D6" s="29" t="s">
        <v>3378</v>
      </c>
      <c r="E6" s="43">
        <v>2500</v>
      </c>
    </row>
    <row r="7" spans="2:11" ht="14.25" customHeight="1">
      <c r="B7" s="29">
        <f t="shared" ref="B7:B37" si="0">B6+3</f>
        <v>1298</v>
      </c>
      <c r="C7" s="29" t="s">
        <v>3379</v>
      </c>
      <c r="D7" s="29" t="s">
        <v>3380</v>
      </c>
      <c r="E7" s="43">
        <v>100</v>
      </c>
    </row>
    <row r="8" spans="2:11" ht="14.25" customHeight="1">
      <c r="B8" s="29">
        <f t="shared" si="0"/>
        <v>1301</v>
      </c>
      <c r="C8" s="29" t="s">
        <v>3381</v>
      </c>
      <c r="D8" s="29" t="s">
        <v>3378</v>
      </c>
      <c r="E8" s="43">
        <v>6000</v>
      </c>
    </row>
    <row r="9" spans="2:11" ht="14.25" customHeight="1">
      <c r="B9" s="29">
        <f t="shared" si="0"/>
        <v>1304</v>
      </c>
      <c r="C9" s="29" t="s">
        <v>3382</v>
      </c>
      <c r="D9" s="29" t="s">
        <v>3378</v>
      </c>
      <c r="E9" s="43">
        <v>450</v>
      </c>
    </row>
    <row r="10" spans="2:11" ht="14.25" customHeight="1">
      <c r="B10" s="29">
        <f t="shared" si="0"/>
        <v>1307</v>
      </c>
      <c r="C10" s="29" t="s">
        <v>3383</v>
      </c>
      <c r="D10" s="29" t="s">
        <v>3384</v>
      </c>
      <c r="E10" s="43">
        <v>320</v>
      </c>
    </row>
    <row r="11" spans="2:11" ht="14.25" customHeight="1">
      <c r="B11" s="29">
        <f t="shared" si="0"/>
        <v>1310</v>
      </c>
      <c r="C11" s="29" t="s">
        <v>3385</v>
      </c>
      <c r="D11" s="29" t="s">
        <v>3386</v>
      </c>
      <c r="E11" s="43">
        <v>200</v>
      </c>
    </row>
    <row r="12" spans="2:11" ht="14.25" customHeight="1">
      <c r="B12" s="29">
        <f t="shared" si="0"/>
        <v>1313</v>
      </c>
      <c r="C12" s="29" t="s">
        <v>3387</v>
      </c>
      <c r="D12" s="29" t="s">
        <v>3386</v>
      </c>
      <c r="E12" s="43">
        <v>200</v>
      </c>
    </row>
    <row r="13" spans="2:11" ht="14.25" customHeight="1">
      <c r="B13" s="29">
        <f t="shared" si="0"/>
        <v>1316</v>
      </c>
      <c r="C13" s="29" t="s">
        <v>3388</v>
      </c>
      <c r="D13" s="29" t="s">
        <v>3384</v>
      </c>
      <c r="E13" s="43">
        <v>999</v>
      </c>
    </row>
    <row r="14" spans="2:11" ht="14.25" customHeight="1">
      <c r="B14" s="29">
        <f t="shared" si="0"/>
        <v>1319</v>
      </c>
      <c r="C14" s="29" t="s">
        <v>3389</v>
      </c>
      <c r="D14" s="29" t="s">
        <v>3384</v>
      </c>
      <c r="E14" s="43">
        <v>1000</v>
      </c>
    </row>
    <row r="15" spans="2:11" ht="14.25" customHeight="1">
      <c r="B15" s="29">
        <f t="shared" si="0"/>
        <v>1322</v>
      </c>
      <c r="C15" s="29" t="s">
        <v>3390</v>
      </c>
      <c r="D15" s="29" t="s">
        <v>3386</v>
      </c>
      <c r="E15" s="43">
        <v>15000</v>
      </c>
    </row>
    <row r="16" spans="2:11" ht="14.25" customHeight="1">
      <c r="B16" s="29">
        <f t="shared" si="0"/>
        <v>1325</v>
      </c>
      <c r="C16" s="29" t="s">
        <v>3391</v>
      </c>
      <c r="D16" s="29" t="s">
        <v>3384</v>
      </c>
      <c r="E16" s="43">
        <v>600</v>
      </c>
    </row>
    <row r="17" spans="2:5" ht="14.25" customHeight="1">
      <c r="B17" s="29">
        <f t="shared" si="0"/>
        <v>1328</v>
      </c>
      <c r="C17" s="29" t="s">
        <v>3392</v>
      </c>
      <c r="D17" s="29" t="s">
        <v>3386</v>
      </c>
      <c r="E17" s="43">
        <v>850</v>
      </c>
    </row>
    <row r="18" spans="2:5" ht="14.25" customHeight="1">
      <c r="B18" s="29">
        <f t="shared" si="0"/>
        <v>1331</v>
      </c>
      <c r="C18" s="29" t="s">
        <v>3393</v>
      </c>
      <c r="D18" s="29" t="s">
        <v>3386</v>
      </c>
      <c r="E18" s="43">
        <v>1250</v>
      </c>
    </row>
    <row r="19" spans="2:5" ht="14.25" customHeight="1">
      <c r="B19" s="29">
        <f t="shared" si="0"/>
        <v>1334</v>
      </c>
      <c r="C19" s="29" t="s">
        <v>3394</v>
      </c>
      <c r="D19" s="29" t="s">
        <v>3384</v>
      </c>
      <c r="E19" s="43">
        <v>4500</v>
      </c>
    </row>
    <row r="20" spans="2:5" ht="14.25" customHeight="1">
      <c r="B20" s="29">
        <f t="shared" si="0"/>
        <v>1337</v>
      </c>
      <c r="C20" s="29" t="s">
        <v>3395</v>
      </c>
      <c r="D20" s="29" t="s">
        <v>3384</v>
      </c>
      <c r="E20" s="43">
        <v>3600</v>
      </c>
    </row>
    <row r="21" spans="2:5" ht="14.25" customHeight="1">
      <c r="B21" s="29">
        <f t="shared" si="0"/>
        <v>1340</v>
      </c>
      <c r="C21" s="29" t="s">
        <v>3396</v>
      </c>
      <c r="D21" s="29" t="s">
        <v>3397</v>
      </c>
      <c r="E21" s="43">
        <v>850</v>
      </c>
    </row>
    <row r="22" spans="2:5" ht="14.25" customHeight="1">
      <c r="B22" s="29">
        <f t="shared" si="0"/>
        <v>1343</v>
      </c>
      <c r="C22" s="29" t="s">
        <v>3398</v>
      </c>
      <c r="D22" s="29" t="s">
        <v>3386</v>
      </c>
      <c r="E22" s="43">
        <v>320</v>
      </c>
    </row>
    <row r="23" spans="2:5" ht="14.25" customHeight="1">
      <c r="B23" s="29">
        <f t="shared" si="0"/>
        <v>1346</v>
      </c>
      <c r="C23" s="29" t="s">
        <v>3399</v>
      </c>
      <c r="D23" s="29" t="s">
        <v>3378</v>
      </c>
      <c r="E23" s="43">
        <v>6500</v>
      </c>
    </row>
    <row r="24" spans="2:5" ht="14.25" customHeight="1">
      <c r="B24" s="29">
        <f t="shared" si="0"/>
        <v>1349</v>
      </c>
      <c r="C24" s="29" t="s">
        <v>3400</v>
      </c>
      <c r="D24" s="29" t="s">
        <v>3378</v>
      </c>
      <c r="E24" s="43">
        <v>100</v>
      </c>
    </row>
    <row r="25" spans="2:5" ht="14.25" customHeight="1">
      <c r="B25" s="29">
        <f t="shared" si="0"/>
        <v>1352</v>
      </c>
      <c r="C25" s="29" t="s">
        <v>3401</v>
      </c>
      <c r="D25" s="29" t="s">
        <v>3378</v>
      </c>
      <c r="E25" s="43">
        <v>550</v>
      </c>
    </row>
    <row r="26" spans="2:5" ht="14.25" customHeight="1">
      <c r="B26" s="29">
        <f t="shared" si="0"/>
        <v>1355</v>
      </c>
      <c r="C26" s="27" t="s">
        <v>3402</v>
      </c>
      <c r="D26" s="29" t="s">
        <v>3397</v>
      </c>
      <c r="E26" s="43">
        <v>250</v>
      </c>
    </row>
    <row r="27" spans="2:5" ht="14.25" customHeight="1">
      <c r="B27" s="29">
        <f t="shared" si="0"/>
        <v>1358</v>
      </c>
      <c r="C27" s="27" t="s">
        <v>3403</v>
      </c>
      <c r="D27" s="29" t="s">
        <v>3397</v>
      </c>
      <c r="E27" s="43">
        <v>3000</v>
      </c>
    </row>
    <row r="28" spans="2:5" ht="14.25" customHeight="1">
      <c r="B28" s="29">
        <f t="shared" si="0"/>
        <v>1361</v>
      </c>
      <c r="C28" s="27" t="s">
        <v>3404</v>
      </c>
      <c r="D28" s="29" t="s">
        <v>3397</v>
      </c>
      <c r="E28" s="43">
        <v>7500</v>
      </c>
    </row>
    <row r="29" spans="2:5" ht="14.25" customHeight="1">
      <c r="B29" s="29">
        <f t="shared" si="0"/>
        <v>1364</v>
      </c>
      <c r="C29" s="27" t="s">
        <v>3405</v>
      </c>
      <c r="D29" s="29" t="s">
        <v>3397</v>
      </c>
      <c r="E29" s="43">
        <v>450</v>
      </c>
    </row>
    <row r="30" spans="2:5" ht="14.25" customHeight="1">
      <c r="B30" s="29">
        <f t="shared" si="0"/>
        <v>1367</v>
      </c>
      <c r="C30" s="27" t="s">
        <v>3406</v>
      </c>
      <c r="D30" s="29" t="s">
        <v>3397</v>
      </c>
      <c r="E30" s="43">
        <v>280</v>
      </c>
    </row>
    <row r="31" spans="2:5" ht="14.25" customHeight="1">
      <c r="B31" s="29">
        <f t="shared" si="0"/>
        <v>1370</v>
      </c>
      <c r="C31" s="27" t="s">
        <v>3407</v>
      </c>
      <c r="D31" s="29" t="s">
        <v>3380</v>
      </c>
      <c r="E31" s="43">
        <v>12500</v>
      </c>
    </row>
    <row r="32" spans="2:5" ht="14.25" customHeight="1">
      <c r="B32" s="29">
        <f t="shared" si="0"/>
        <v>1373</v>
      </c>
      <c r="C32" s="27" t="s">
        <v>3408</v>
      </c>
      <c r="D32" s="29" t="s">
        <v>3378</v>
      </c>
      <c r="E32" s="43">
        <v>10000</v>
      </c>
    </row>
    <row r="33" spans="2:5" ht="14.25" customHeight="1">
      <c r="B33" s="29">
        <f t="shared" si="0"/>
        <v>1376</v>
      </c>
      <c r="C33" s="27" t="s">
        <v>3409</v>
      </c>
      <c r="D33" s="29" t="s">
        <v>3378</v>
      </c>
      <c r="E33" s="43">
        <v>780</v>
      </c>
    </row>
    <row r="34" spans="2:5" ht="14.25" customHeight="1">
      <c r="B34" s="29">
        <f t="shared" si="0"/>
        <v>1379</v>
      </c>
      <c r="C34" s="27" t="s">
        <v>3410</v>
      </c>
      <c r="D34" s="29" t="s">
        <v>3384</v>
      </c>
      <c r="E34" s="43">
        <v>450</v>
      </c>
    </row>
    <row r="35" spans="2:5" ht="14.25" customHeight="1">
      <c r="B35" s="29">
        <f t="shared" si="0"/>
        <v>1382</v>
      </c>
      <c r="C35" s="27" t="s">
        <v>3411</v>
      </c>
      <c r="D35" s="29" t="s">
        <v>3386</v>
      </c>
      <c r="E35" s="43">
        <v>800</v>
      </c>
    </row>
    <row r="36" spans="2:5" ht="14.25" customHeight="1">
      <c r="B36" s="29">
        <f t="shared" si="0"/>
        <v>1385</v>
      </c>
      <c r="C36" s="27" t="s">
        <v>3412</v>
      </c>
      <c r="D36" s="29" t="s">
        <v>3386</v>
      </c>
      <c r="E36" s="43">
        <v>800</v>
      </c>
    </row>
    <row r="37" spans="2:5" ht="14.25" customHeight="1">
      <c r="B37" s="29">
        <f t="shared" si="0"/>
        <v>1388</v>
      </c>
      <c r="C37" s="27" t="s">
        <v>3413</v>
      </c>
      <c r="D37" s="29" t="s">
        <v>3386</v>
      </c>
      <c r="E37" s="43">
        <v>750</v>
      </c>
    </row>
    <row r="38" spans="2:5" ht="14.25" customHeight="1"/>
    <row r="39" spans="2:5" ht="14.25" customHeight="1"/>
    <row r="40" spans="2:5" ht="14.25" customHeight="1"/>
    <row r="41" spans="2:5" ht="14.25" customHeight="1"/>
    <row r="42" spans="2:5" ht="14.25" customHeight="1"/>
    <row r="43" spans="2:5" ht="14.25" customHeight="1"/>
    <row r="44" spans="2:5" ht="14.25" customHeight="1"/>
    <row r="45" spans="2:5" ht="14.25" customHeight="1"/>
    <row r="46" spans="2:5" ht="14.25" customHeight="1"/>
    <row r="47" spans="2:5" ht="14.25" customHeight="1"/>
    <row r="48" spans="2:5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G2:K2"/>
  </mergeCells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B1:K1000"/>
  <sheetViews>
    <sheetView workbookViewId="0"/>
  </sheetViews>
  <sheetFormatPr defaultColWidth="14.44140625" defaultRowHeight="15" customHeight="1"/>
  <cols>
    <col min="1" max="1" width="8.109375" customWidth="1"/>
    <col min="2" max="2" width="9.6640625" customWidth="1"/>
    <col min="3" max="3" width="13.109375" customWidth="1"/>
    <col min="4" max="4" width="10.33203125" customWidth="1"/>
    <col min="5" max="6" width="11.88671875" customWidth="1"/>
    <col min="7" max="7" width="10" customWidth="1"/>
    <col min="8" max="8" width="14.6640625" customWidth="1"/>
    <col min="9" max="11" width="11.88671875" customWidth="1"/>
  </cols>
  <sheetData>
    <row r="1" spans="2:11" ht="14.25" customHeight="1"/>
    <row r="2" spans="2:11" ht="14.25" customHeight="1">
      <c r="B2" s="33" t="s">
        <v>3414</v>
      </c>
      <c r="C2" s="40"/>
      <c r="D2" s="40"/>
      <c r="E2" s="40"/>
      <c r="F2" s="40"/>
      <c r="G2" s="40"/>
      <c r="H2" s="40"/>
      <c r="I2" s="40"/>
      <c r="J2" s="40"/>
      <c r="K2" s="40"/>
    </row>
    <row r="3" spans="2:11" ht="14.25" customHeight="1">
      <c r="B3" s="27" t="s">
        <v>3415</v>
      </c>
    </row>
    <row r="4" spans="2:11" ht="14.25" customHeight="1"/>
    <row r="5" spans="2:11" ht="14.25" customHeight="1">
      <c r="B5" s="44" t="s">
        <v>3416</v>
      </c>
      <c r="C5" s="44" t="s">
        <v>3417</v>
      </c>
      <c r="D5" s="44" t="s">
        <v>3418</v>
      </c>
      <c r="E5" s="45" t="s">
        <v>3419</v>
      </c>
      <c r="G5" s="87" t="s">
        <v>3420</v>
      </c>
      <c r="H5" s="76"/>
      <c r="J5" s="27" t="s">
        <v>3421</v>
      </c>
    </row>
    <row r="6" spans="2:11" ht="14.25" customHeight="1">
      <c r="B6" s="46" t="s">
        <v>3422</v>
      </c>
      <c r="C6" s="47">
        <v>550000</v>
      </c>
      <c r="D6" s="47">
        <v>30000</v>
      </c>
      <c r="E6" s="48" t="str">
        <f t="shared" ref="E6:E10" si="0">IF(AND(C6&gt;=500000,D6&gt;=25000),"ACCEPTED","REJECTED")</f>
        <v>ACCEPTED</v>
      </c>
      <c r="G6" s="27" t="s">
        <v>3423</v>
      </c>
      <c r="H6" s="47">
        <v>500000</v>
      </c>
    </row>
    <row r="7" spans="2:11" ht="14.25" customHeight="1">
      <c r="B7" s="46" t="s">
        <v>3424</v>
      </c>
      <c r="C7" s="47">
        <v>450000</v>
      </c>
      <c r="D7" s="47">
        <v>350000</v>
      </c>
      <c r="E7" s="48" t="str">
        <f t="shared" si="0"/>
        <v>REJECTED</v>
      </c>
      <c r="G7" s="27" t="s">
        <v>3370</v>
      </c>
      <c r="H7" s="47">
        <v>25000</v>
      </c>
    </row>
    <row r="8" spans="2:11" ht="14.25" customHeight="1">
      <c r="B8" s="46" t="s">
        <v>3425</v>
      </c>
      <c r="C8" s="47">
        <v>295800</v>
      </c>
      <c r="D8" s="47">
        <v>45800</v>
      </c>
      <c r="E8" s="48" t="str">
        <f t="shared" si="0"/>
        <v>REJECTED</v>
      </c>
    </row>
    <row r="9" spans="2:11" ht="14.25" customHeight="1">
      <c r="B9" s="46" t="s">
        <v>3426</v>
      </c>
      <c r="C9" s="47">
        <v>780500</v>
      </c>
      <c r="D9" s="47">
        <v>50250</v>
      </c>
      <c r="E9" s="48" t="str">
        <f t="shared" si="0"/>
        <v>ACCEPTED</v>
      </c>
    </row>
    <row r="10" spans="2:11" ht="14.25" customHeight="1">
      <c r="B10" s="46" t="s">
        <v>3427</v>
      </c>
      <c r="C10" s="47">
        <v>805000</v>
      </c>
      <c r="D10" s="47">
        <v>12500</v>
      </c>
      <c r="E10" s="48" t="str">
        <f t="shared" si="0"/>
        <v>REJECTED</v>
      </c>
    </row>
    <row r="11" spans="2:11" ht="14.25" customHeight="1"/>
    <row r="12" spans="2:11" ht="14.25" customHeight="1"/>
    <row r="13" spans="2:11" ht="14.25" customHeight="1"/>
    <row r="14" spans="2:11" ht="14.25" customHeight="1"/>
    <row r="15" spans="2:11" ht="14.25" customHeight="1"/>
    <row r="16" spans="2:11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G5:H5"/>
  </mergeCells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B1:E1000"/>
  <sheetViews>
    <sheetView workbookViewId="0"/>
  </sheetViews>
  <sheetFormatPr defaultColWidth="14.44140625" defaultRowHeight="15" customHeight="1"/>
  <cols>
    <col min="1" max="2" width="11.88671875" customWidth="1"/>
    <col min="3" max="3" width="47.5546875" customWidth="1"/>
    <col min="4" max="4" width="11.88671875" customWidth="1"/>
    <col min="5" max="5" width="37.6640625" customWidth="1"/>
    <col min="6" max="6" width="11.88671875" customWidth="1"/>
  </cols>
  <sheetData>
    <row r="1" spans="2:5" ht="14.25" customHeight="1"/>
    <row r="2" spans="2:5" ht="14.25" customHeight="1">
      <c r="B2" s="33" t="s">
        <v>3428</v>
      </c>
      <c r="C2" s="40"/>
    </row>
    <row r="3" spans="2:5" ht="14.25" customHeight="1">
      <c r="B3" s="27" t="s">
        <v>3429</v>
      </c>
      <c r="E3" s="27" t="s">
        <v>3430</v>
      </c>
    </row>
    <row r="4" spans="2:5" ht="14.25" customHeight="1"/>
    <row r="5" spans="2:5" ht="14.25" customHeight="1">
      <c r="B5" s="49" t="s">
        <v>3431</v>
      </c>
      <c r="C5" s="49" t="s">
        <v>3432</v>
      </c>
    </row>
    <row r="6" spans="2:5" ht="14.25" customHeight="1">
      <c r="B6" s="46" t="s">
        <v>3352</v>
      </c>
      <c r="C6" s="27" t="s">
        <v>3433</v>
      </c>
    </row>
    <row r="7" spans="2:5" ht="14.25" customHeight="1">
      <c r="B7" s="46" t="s">
        <v>3434</v>
      </c>
      <c r="C7" s="27" t="s">
        <v>3435</v>
      </c>
      <c r="E7" s="50" t="s">
        <v>3436</v>
      </c>
    </row>
    <row r="8" spans="2:5" ht="14.25" customHeight="1">
      <c r="B8" s="46" t="s">
        <v>3437</v>
      </c>
      <c r="C8" s="27" t="s">
        <v>3438</v>
      </c>
    </row>
    <row r="9" spans="2:5" ht="14.25" customHeight="1">
      <c r="B9" s="46" t="s">
        <v>3439</v>
      </c>
      <c r="C9" s="27" t="s">
        <v>3440</v>
      </c>
    </row>
    <row r="10" spans="2:5" ht="14.25" customHeight="1">
      <c r="B10" s="46" t="s">
        <v>3441</v>
      </c>
      <c r="C10" s="27" t="s">
        <v>3442</v>
      </c>
    </row>
    <row r="11" spans="2:5" ht="14.25" customHeight="1">
      <c r="B11" s="46" t="s">
        <v>3443</v>
      </c>
      <c r="C11" s="27" t="s">
        <v>3444</v>
      </c>
    </row>
    <row r="12" spans="2:5" ht="14.25" customHeight="1">
      <c r="B12" s="46" t="s">
        <v>3445</v>
      </c>
      <c r="C12" s="27" t="s">
        <v>3446</v>
      </c>
    </row>
    <row r="13" spans="2:5" ht="14.25" customHeight="1">
      <c r="B13" s="46" t="s">
        <v>116</v>
      </c>
      <c r="C13" s="27" t="s">
        <v>3447</v>
      </c>
    </row>
    <row r="14" spans="2:5" ht="14.25" customHeight="1">
      <c r="B14" s="46" t="s">
        <v>3448</v>
      </c>
      <c r="C14" s="27" t="s">
        <v>3449</v>
      </c>
    </row>
    <row r="15" spans="2:5" ht="14.25" customHeight="1">
      <c r="B15" s="46" t="s">
        <v>3450</v>
      </c>
      <c r="C15" s="27" t="s">
        <v>3451</v>
      </c>
    </row>
    <row r="16" spans="2:5" ht="14.25" customHeight="1">
      <c r="B16" s="46" t="s">
        <v>3452</v>
      </c>
      <c r="C16" s="27" t="s">
        <v>3453</v>
      </c>
    </row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B1:I1000"/>
  <sheetViews>
    <sheetView workbookViewId="0"/>
  </sheetViews>
  <sheetFormatPr defaultColWidth="14.44140625" defaultRowHeight="15" customHeight="1"/>
  <cols>
    <col min="1" max="1" width="5.6640625" customWidth="1"/>
    <col min="2" max="2" width="10.88671875" customWidth="1"/>
    <col min="3" max="3" width="11.88671875" customWidth="1"/>
    <col min="4" max="4" width="9.33203125" customWidth="1"/>
    <col min="5" max="5" width="9.109375" customWidth="1"/>
    <col min="6" max="6" width="11.88671875" customWidth="1"/>
    <col min="7" max="7" width="14.109375" customWidth="1"/>
    <col min="8" max="8" width="15.6640625" customWidth="1"/>
    <col min="9" max="9" width="11.88671875" customWidth="1"/>
  </cols>
  <sheetData>
    <row r="1" spans="2:9" ht="14.25" customHeight="1"/>
    <row r="2" spans="2:9" ht="14.25" customHeight="1">
      <c r="B2" s="33" t="s">
        <v>3454</v>
      </c>
      <c r="C2" s="40"/>
      <c r="D2" s="40"/>
      <c r="E2" s="40"/>
      <c r="F2" s="40"/>
      <c r="G2" s="40"/>
      <c r="H2" s="40"/>
    </row>
    <row r="3" spans="2:9" ht="14.25" customHeight="1">
      <c r="B3" s="27" t="s">
        <v>3455</v>
      </c>
      <c r="C3" s="51"/>
      <c r="I3" s="27" t="s">
        <v>3421</v>
      </c>
    </row>
    <row r="4" spans="2:9" ht="14.25" customHeight="1">
      <c r="B4" s="27" t="s">
        <v>3456</v>
      </c>
      <c r="C4" s="51"/>
    </row>
    <row r="5" spans="2:9" ht="14.25" customHeight="1">
      <c r="C5" s="52"/>
    </row>
    <row r="6" spans="2:9" ht="14.25" customHeight="1">
      <c r="B6" s="49" t="s">
        <v>3338</v>
      </c>
      <c r="C6" s="49" t="s">
        <v>3340</v>
      </c>
      <c r="D6" s="49" t="s">
        <v>3423</v>
      </c>
      <c r="E6" s="49" t="s">
        <v>3457</v>
      </c>
      <c r="G6" s="53" t="s">
        <v>3458</v>
      </c>
    </row>
    <row r="7" spans="2:9" ht="14.25" customHeight="1">
      <c r="B7" s="46" t="s">
        <v>3352</v>
      </c>
      <c r="C7" s="46" t="s">
        <v>3459</v>
      </c>
      <c r="D7" s="54">
        <v>50000</v>
      </c>
      <c r="E7" s="55" t="str">
        <f t="shared" ref="E7:E17" si="0">IF(D7&gt;50000,0.05*D7,"")</f>
        <v/>
      </c>
      <c r="G7" s="54">
        <v>50000</v>
      </c>
    </row>
    <row r="8" spans="2:9" ht="14.25" customHeight="1">
      <c r="B8" s="46" t="s">
        <v>3434</v>
      </c>
      <c r="C8" s="46" t="s">
        <v>3369</v>
      </c>
      <c r="D8" s="54">
        <v>45000</v>
      </c>
      <c r="E8" s="55" t="str">
        <f t="shared" si="0"/>
        <v/>
      </c>
    </row>
    <row r="9" spans="2:9" ht="14.25" customHeight="1">
      <c r="B9" s="46" t="s">
        <v>3437</v>
      </c>
      <c r="C9" s="46" t="s">
        <v>3369</v>
      </c>
      <c r="D9" s="54">
        <v>48500</v>
      </c>
      <c r="E9" s="55" t="str">
        <f t="shared" si="0"/>
        <v/>
      </c>
      <c r="G9" s="53" t="s">
        <v>3460</v>
      </c>
    </row>
    <row r="10" spans="2:9" ht="14.25" customHeight="1">
      <c r="B10" s="46" t="s">
        <v>3439</v>
      </c>
      <c r="C10" s="46" t="s">
        <v>3369</v>
      </c>
      <c r="D10" s="54">
        <v>55000</v>
      </c>
      <c r="E10" s="55">
        <f t="shared" si="0"/>
        <v>2750</v>
      </c>
      <c r="G10" s="56">
        <v>0.05</v>
      </c>
    </row>
    <row r="11" spans="2:9" ht="14.25" customHeight="1">
      <c r="B11" s="46" t="s">
        <v>3441</v>
      </c>
      <c r="C11" s="46" t="s">
        <v>3461</v>
      </c>
      <c r="D11" s="54">
        <v>62500</v>
      </c>
      <c r="E11" s="55">
        <f t="shared" si="0"/>
        <v>3125</v>
      </c>
    </row>
    <row r="12" spans="2:9" ht="14.25" customHeight="1">
      <c r="B12" s="46" t="s">
        <v>3443</v>
      </c>
      <c r="C12" s="46" t="s">
        <v>3461</v>
      </c>
      <c r="D12" s="54">
        <v>41500</v>
      </c>
      <c r="E12" s="55" t="str">
        <f t="shared" si="0"/>
        <v/>
      </c>
    </row>
    <row r="13" spans="2:9" ht="14.25" customHeight="1">
      <c r="B13" s="46" t="s">
        <v>3445</v>
      </c>
      <c r="C13" s="46" t="s">
        <v>3462</v>
      </c>
      <c r="D13" s="54">
        <v>40000</v>
      </c>
      <c r="E13" s="55" t="str">
        <f t="shared" si="0"/>
        <v/>
      </c>
    </row>
    <row r="14" spans="2:9" ht="14.25" customHeight="1">
      <c r="B14" s="46" t="s">
        <v>116</v>
      </c>
      <c r="C14" s="46" t="s">
        <v>3462</v>
      </c>
      <c r="D14" s="54">
        <v>32500</v>
      </c>
      <c r="E14" s="55" t="str">
        <f t="shared" si="0"/>
        <v/>
      </c>
    </row>
    <row r="15" spans="2:9" ht="14.25" customHeight="1">
      <c r="B15" s="46" t="s">
        <v>3448</v>
      </c>
      <c r="C15" s="46" t="s">
        <v>3462</v>
      </c>
      <c r="D15" s="54">
        <v>80000</v>
      </c>
      <c r="E15" s="55">
        <f t="shared" si="0"/>
        <v>4000</v>
      </c>
    </row>
    <row r="16" spans="2:9" ht="14.25" customHeight="1">
      <c r="B16" s="46" t="s">
        <v>3450</v>
      </c>
      <c r="C16" s="46" t="s">
        <v>3459</v>
      </c>
      <c r="D16" s="54">
        <v>64280</v>
      </c>
      <c r="E16" s="55">
        <f t="shared" si="0"/>
        <v>3214</v>
      </c>
    </row>
    <row r="17" spans="2:5" ht="14.25" customHeight="1">
      <c r="B17" s="46" t="s">
        <v>3452</v>
      </c>
      <c r="C17" s="46" t="s">
        <v>3459</v>
      </c>
      <c r="D17" s="54">
        <v>53250</v>
      </c>
      <c r="E17" s="55">
        <f t="shared" si="0"/>
        <v>2662.5</v>
      </c>
    </row>
    <row r="18" spans="2:5" ht="14.25" customHeight="1"/>
    <row r="19" spans="2:5" ht="14.25" customHeight="1"/>
    <row r="20" spans="2:5" ht="14.25" customHeight="1"/>
    <row r="21" spans="2:5" ht="14.25" customHeight="1"/>
    <row r="22" spans="2:5" ht="14.25" customHeight="1"/>
    <row r="23" spans="2:5" ht="14.25" customHeight="1"/>
    <row r="24" spans="2:5" ht="14.25" customHeight="1"/>
    <row r="25" spans="2:5" ht="14.25" customHeight="1"/>
    <row r="26" spans="2:5" ht="14.25" customHeight="1"/>
    <row r="27" spans="2:5" ht="14.25" customHeight="1"/>
    <row r="28" spans="2:5" ht="14.25" customHeight="1"/>
    <row r="29" spans="2:5" ht="14.25" customHeight="1"/>
    <row r="30" spans="2:5" ht="14.25" customHeight="1"/>
    <row r="31" spans="2:5" ht="14.25" customHeight="1"/>
    <row r="32" spans="2:5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I1000"/>
  <sheetViews>
    <sheetView workbookViewId="0">
      <selection activeCell="B24" sqref="B24"/>
    </sheetView>
  </sheetViews>
  <sheetFormatPr defaultColWidth="14.44140625" defaultRowHeight="15" customHeight="1"/>
  <cols>
    <col min="1" max="1" width="6.109375" customWidth="1"/>
    <col min="2" max="3" width="9.6640625" customWidth="1"/>
    <col min="4" max="4" width="10.33203125" customWidth="1"/>
    <col min="5" max="5" width="10.5546875" customWidth="1"/>
    <col min="6" max="6" width="11.88671875" customWidth="1"/>
    <col min="7" max="7" width="13.109375" customWidth="1"/>
    <col min="8" max="8" width="15.5546875" customWidth="1"/>
    <col min="9" max="9" width="16.109375" customWidth="1"/>
  </cols>
  <sheetData>
    <row r="1" spans="2:9" ht="14.25" customHeight="1"/>
    <row r="2" spans="2:9" ht="14.25" customHeight="1">
      <c r="B2" s="33" t="s">
        <v>3463</v>
      </c>
      <c r="C2" s="40"/>
      <c r="D2" s="40"/>
      <c r="E2" s="40"/>
      <c r="F2" s="40"/>
      <c r="G2" s="40"/>
      <c r="H2" s="40"/>
    </row>
    <row r="3" spans="2:9" ht="14.25" customHeight="1">
      <c r="B3" s="27" t="s">
        <v>3464</v>
      </c>
    </row>
    <row r="4" spans="2:9" ht="14.25" customHeight="1">
      <c r="I4" s="57" t="s">
        <v>3465</v>
      </c>
    </row>
    <row r="5" spans="2:9" ht="14.25" customHeight="1">
      <c r="B5" s="58" t="s">
        <v>3466</v>
      </c>
      <c r="C5" s="58" t="s">
        <v>3467</v>
      </c>
      <c r="D5" s="58" t="s">
        <v>3423</v>
      </c>
      <c r="E5" s="58" t="s">
        <v>3370</v>
      </c>
    </row>
    <row r="6" spans="2:9" ht="14.25" customHeight="1">
      <c r="B6" s="29">
        <v>1185</v>
      </c>
      <c r="C6" s="46" t="s">
        <v>3468</v>
      </c>
      <c r="D6" s="59">
        <v>60000</v>
      </c>
      <c r="E6" s="59">
        <v>39000</v>
      </c>
    </row>
    <row r="7" spans="2:9" ht="14.25" customHeight="1">
      <c r="B7" s="29">
        <v>1186</v>
      </c>
      <c r="C7" s="46" t="s">
        <v>3469</v>
      </c>
      <c r="D7" s="59">
        <v>50000</v>
      </c>
      <c r="E7" s="59">
        <v>30000</v>
      </c>
    </row>
    <row r="8" spans="2:9" ht="14.25" customHeight="1">
      <c r="B8" s="29">
        <v>1187</v>
      </c>
      <c r="C8" s="46" t="s">
        <v>3470</v>
      </c>
      <c r="D8" s="59">
        <v>40000</v>
      </c>
      <c r="E8" s="59">
        <v>18000</v>
      </c>
    </row>
    <row r="9" spans="2:9" ht="14.25" customHeight="1">
      <c r="B9" s="29">
        <v>1188</v>
      </c>
      <c r="C9" s="46" t="s">
        <v>3471</v>
      </c>
      <c r="D9" s="59">
        <v>38250</v>
      </c>
      <c r="E9" s="59">
        <v>13387.5</v>
      </c>
    </row>
    <row r="10" spans="2:9" ht="14.25" customHeight="1">
      <c r="B10" s="29">
        <v>1189</v>
      </c>
      <c r="C10" s="46" t="s">
        <v>3472</v>
      </c>
      <c r="D10" s="59">
        <v>54000</v>
      </c>
      <c r="E10" s="59">
        <v>27000</v>
      </c>
      <c r="G10" s="88"/>
      <c r="H10" s="89" t="s">
        <v>3551</v>
      </c>
      <c r="I10" s="90"/>
    </row>
    <row r="11" spans="2:9" ht="14.25" customHeight="1">
      <c r="B11" s="29">
        <v>1190</v>
      </c>
      <c r="C11" s="46" t="s">
        <v>3475</v>
      </c>
      <c r="D11" s="59">
        <v>50000</v>
      </c>
      <c r="E11" s="59">
        <v>32500</v>
      </c>
      <c r="G11" s="89" t="s">
        <v>3467</v>
      </c>
      <c r="H11" s="88" t="s">
        <v>3473</v>
      </c>
      <c r="I11" s="91" t="s">
        <v>3474</v>
      </c>
    </row>
    <row r="12" spans="2:9" ht="14.25" customHeight="1">
      <c r="B12" s="29">
        <v>1191</v>
      </c>
      <c r="C12" s="46" t="s">
        <v>3468</v>
      </c>
      <c r="D12" s="59">
        <v>62500</v>
      </c>
      <c r="E12" s="59">
        <v>37500</v>
      </c>
      <c r="G12" s="88" t="s">
        <v>3468</v>
      </c>
      <c r="H12" s="92">
        <v>316700</v>
      </c>
      <c r="I12" s="93">
        <v>32310</v>
      </c>
    </row>
    <row r="13" spans="2:9" ht="14.25" customHeight="1">
      <c r="B13" s="29">
        <v>1192</v>
      </c>
      <c r="C13" s="46" t="s">
        <v>3469</v>
      </c>
      <c r="D13" s="59">
        <v>45000</v>
      </c>
      <c r="E13" s="59">
        <v>20249.999999999996</v>
      </c>
      <c r="G13" s="94" t="s">
        <v>3470</v>
      </c>
      <c r="H13" s="95">
        <v>197000</v>
      </c>
      <c r="I13" s="96">
        <v>20140</v>
      </c>
    </row>
    <row r="14" spans="2:9" ht="14.25" customHeight="1">
      <c r="B14" s="29">
        <v>1193</v>
      </c>
      <c r="C14" s="46" t="s">
        <v>3470</v>
      </c>
      <c r="D14" s="59">
        <v>38000</v>
      </c>
      <c r="E14" s="59">
        <v>13300</v>
      </c>
      <c r="G14" s="94" t="s">
        <v>3472</v>
      </c>
      <c r="H14" s="95">
        <v>208500</v>
      </c>
      <c r="I14" s="96">
        <v>28743.75</v>
      </c>
    </row>
    <row r="15" spans="2:9" ht="14.25" customHeight="1">
      <c r="B15" s="29">
        <v>1194</v>
      </c>
      <c r="C15" s="46" t="s">
        <v>3471</v>
      </c>
      <c r="D15" s="59">
        <v>37125</v>
      </c>
      <c r="E15" s="59">
        <v>18562.5</v>
      </c>
      <c r="G15" s="94" t="s">
        <v>3469</v>
      </c>
      <c r="H15" s="95">
        <v>237125</v>
      </c>
      <c r="I15" s="96">
        <v>24401.25</v>
      </c>
    </row>
    <row r="16" spans="2:9" ht="14.25" customHeight="1">
      <c r="B16" s="29">
        <v>1195</v>
      </c>
      <c r="C16" s="46" t="s">
        <v>3472</v>
      </c>
      <c r="D16" s="59">
        <v>54000</v>
      </c>
      <c r="E16" s="59">
        <v>35100</v>
      </c>
      <c r="G16" s="94" t="s">
        <v>3471</v>
      </c>
      <c r="H16" s="95">
        <v>191000</v>
      </c>
      <c r="I16" s="96">
        <v>19350</v>
      </c>
    </row>
    <row r="17" spans="2:9" ht="14.25" customHeight="1">
      <c r="B17" s="29">
        <v>1196</v>
      </c>
      <c r="C17" s="46" t="s">
        <v>3475</v>
      </c>
      <c r="D17" s="59">
        <v>50000</v>
      </c>
      <c r="E17" s="59">
        <v>30000</v>
      </c>
      <c r="G17" s="94" t="s">
        <v>3475</v>
      </c>
      <c r="H17" s="95">
        <v>195000</v>
      </c>
      <c r="I17" s="96">
        <v>25125</v>
      </c>
    </row>
    <row r="18" spans="2:9" ht="14.25" customHeight="1">
      <c r="B18" s="29">
        <v>1197</v>
      </c>
      <c r="C18" s="46" t="s">
        <v>3468</v>
      </c>
      <c r="D18" s="59">
        <v>61000</v>
      </c>
      <c r="E18" s="59">
        <v>27450</v>
      </c>
      <c r="G18" s="97" t="s">
        <v>3476</v>
      </c>
      <c r="H18" s="98">
        <v>1345325</v>
      </c>
      <c r="I18" s="99">
        <v>24874.330357142859</v>
      </c>
    </row>
    <row r="19" spans="2:9" ht="14.25" customHeight="1">
      <c r="B19" s="29">
        <v>1198</v>
      </c>
      <c r="C19" s="46" t="s">
        <v>3469</v>
      </c>
      <c r="D19" s="59">
        <v>46250</v>
      </c>
      <c r="E19" s="59">
        <v>16187.5</v>
      </c>
    </row>
    <row r="20" spans="2:9" ht="14.25" customHeight="1">
      <c r="B20" s="29">
        <v>1199</v>
      </c>
      <c r="C20" s="46" t="s">
        <v>3470</v>
      </c>
      <c r="D20" s="59">
        <v>38000</v>
      </c>
      <c r="E20" s="59">
        <v>19000</v>
      </c>
    </row>
    <row r="21" spans="2:9" ht="14.25" customHeight="1">
      <c r="B21" s="29">
        <v>1200</v>
      </c>
      <c r="C21" s="46" t="s">
        <v>3471</v>
      </c>
      <c r="D21" s="59">
        <v>36000</v>
      </c>
      <c r="E21" s="59">
        <v>23400</v>
      </c>
    </row>
    <row r="22" spans="2:9" ht="14.25" customHeight="1">
      <c r="B22" s="29">
        <v>1201</v>
      </c>
      <c r="C22" s="46" t="s">
        <v>3472</v>
      </c>
      <c r="D22" s="59">
        <v>51000</v>
      </c>
      <c r="E22" s="59">
        <v>30600</v>
      </c>
    </row>
    <row r="23" spans="2:9" ht="14.25" customHeight="1">
      <c r="B23" s="29">
        <v>1202</v>
      </c>
      <c r="C23" s="46" t="s">
        <v>3475</v>
      </c>
      <c r="D23" s="59">
        <v>47500</v>
      </c>
      <c r="E23" s="59">
        <v>21374.999999999996</v>
      </c>
    </row>
    <row r="24" spans="2:9" ht="14.25" customHeight="1">
      <c r="B24" s="29">
        <v>1203</v>
      </c>
      <c r="C24" s="46" t="s">
        <v>3468</v>
      </c>
      <c r="D24" s="59">
        <v>60000</v>
      </c>
      <c r="E24" s="59">
        <v>21000</v>
      </c>
    </row>
    <row r="25" spans="2:9" ht="14.25" customHeight="1">
      <c r="B25" s="29">
        <v>1204</v>
      </c>
      <c r="C25" s="46" t="s">
        <v>3469</v>
      </c>
      <c r="D25" s="59">
        <v>45000</v>
      </c>
      <c r="E25" s="59">
        <v>22500</v>
      </c>
    </row>
    <row r="26" spans="2:9" ht="14.25" customHeight="1">
      <c r="B26" s="29">
        <v>1205</v>
      </c>
      <c r="C26" s="46" t="s">
        <v>3470</v>
      </c>
      <c r="D26" s="59">
        <v>36000</v>
      </c>
      <c r="E26" s="59">
        <v>23400</v>
      </c>
    </row>
    <row r="27" spans="2:9" ht="14.25" customHeight="1">
      <c r="B27" s="29">
        <v>1206</v>
      </c>
      <c r="C27" s="46" t="s">
        <v>3471</v>
      </c>
      <c r="D27" s="59">
        <v>37125</v>
      </c>
      <c r="E27" s="59">
        <v>22275</v>
      </c>
    </row>
    <row r="28" spans="2:9" ht="14.25" customHeight="1">
      <c r="B28" s="29">
        <v>1207</v>
      </c>
      <c r="C28" s="46" t="s">
        <v>3472</v>
      </c>
      <c r="D28" s="59">
        <v>49500</v>
      </c>
      <c r="E28" s="59">
        <v>22274.999999999996</v>
      </c>
    </row>
    <row r="29" spans="2:9" ht="14.25" customHeight="1">
      <c r="B29" s="29">
        <v>1208</v>
      </c>
      <c r="C29" s="46" t="s">
        <v>3475</v>
      </c>
      <c r="D29" s="59">
        <v>47500</v>
      </c>
      <c r="E29" s="59">
        <v>16625</v>
      </c>
    </row>
    <row r="30" spans="2:9" ht="14.25" customHeight="1">
      <c r="B30" s="29">
        <v>1209</v>
      </c>
      <c r="C30" s="46" t="s">
        <v>3468</v>
      </c>
      <c r="D30" s="59">
        <v>73200</v>
      </c>
      <c r="E30" s="59">
        <v>36600</v>
      </c>
    </row>
    <row r="31" spans="2:9" ht="14.25" customHeight="1">
      <c r="B31" s="29">
        <v>1210</v>
      </c>
      <c r="C31" s="46" t="s">
        <v>3469</v>
      </c>
      <c r="D31" s="59">
        <v>50875.000000000007</v>
      </c>
      <c r="E31" s="59">
        <v>33068.750000000007</v>
      </c>
    </row>
    <row r="32" spans="2:9" ht="14.25" customHeight="1">
      <c r="B32" s="29">
        <v>1211</v>
      </c>
      <c r="C32" s="46" t="s">
        <v>3470</v>
      </c>
      <c r="D32" s="59">
        <v>45000</v>
      </c>
      <c r="E32" s="59">
        <v>27000</v>
      </c>
    </row>
    <row r="33" spans="1:5" ht="14.25" customHeight="1">
      <c r="B33" s="29">
        <v>1212</v>
      </c>
      <c r="C33" s="46" t="s">
        <v>3471</v>
      </c>
      <c r="D33" s="59">
        <v>42500</v>
      </c>
      <c r="E33" s="59">
        <v>19124.999999999996</v>
      </c>
    </row>
    <row r="34" spans="1:5" ht="14.25" customHeight="1">
      <c r="A34" s="29"/>
    </row>
    <row r="35" spans="1:5" ht="14.25" customHeight="1"/>
    <row r="36" spans="1:5" ht="14.25" customHeight="1"/>
    <row r="37" spans="1:5" ht="14.25" customHeight="1"/>
    <row r="38" spans="1:5" ht="14.25" customHeight="1"/>
    <row r="39" spans="1:5" ht="14.25" customHeight="1"/>
    <row r="40" spans="1:5" ht="14.25" customHeight="1"/>
    <row r="41" spans="1:5" ht="14.25" customHeight="1"/>
    <row r="42" spans="1:5" ht="14.25" customHeight="1"/>
    <row r="43" spans="1:5" ht="14.25" customHeight="1"/>
    <row r="44" spans="1:5" ht="14.25" customHeight="1"/>
    <row r="45" spans="1:5" ht="14.25" customHeight="1"/>
    <row r="46" spans="1:5" ht="14.25" customHeight="1"/>
    <row r="47" spans="1:5" ht="14.25" customHeight="1"/>
    <row r="48" spans="1:5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G1000"/>
  <sheetViews>
    <sheetView workbookViewId="0"/>
  </sheetViews>
  <sheetFormatPr defaultColWidth="14.44140625" defaultRowHeight="15" customHeight="1"/>
  <cols>
    <col min="1" max="6" width="8.6640625" customWidth="1"/>
    <col min="7" max="7" width="16.88671875" customWidth="1"/>
  </cols>
  <sheetData>
    <row r="1" spans="1:7" ht="14.25" customHeight="1">
      <c r="A1" s="23" t="s">
        <v>3477</v>
      </c>
      <c r="B1" s="23" t="s">
        <v>185</v>
      </c>
      <c r="C1" s="23" t="s">
        <v>3478</v>
      </c>
      <c r="D1" s="23" t="s">
        <v>3479</v>
      </c>
      <c r="E1" s="23" t="s">
        <v>3480</v>
      </c>
      <c r="F1" s="23" t="s">
        <v>3481</v>
      </c>
      <c r="G1" s="23" t="s">
        <v>3482</v>
      </c>
    </row>
    <row r="2" spans="1:7" ht="14.25" customHeight="1">
      <c r="A2" s="29" t="s">
        <v>3483</v>
      </c>
      <c r="B2" s="29" t="s">
        <v>292</v>
      </c>
      <c r="C2" s="29">
        <v>90</v>
      </c>
      <c r="D2" s="25" t="str">
        <f t="shared" ref="D2:D16" si="0">IF(C2&gt;=60,"PASS","FAIL")</f>
        <v>PASS</v>
      </c>
      <c r="E2" s="25" t="str">
        <f t="shared" ref="E2:E16" si="1">IF(C2&gt;=90,"A",IF(C2&gt;79,"B",IF(C2&gt;69,"C",IF(C2&gt;59,"D","F"))))</f>
        <v>A</v>
      </c>
      <c r="F2" s="25" t="str">
        <f t="shared" ref="F2:F16" si="2">IF(C2&gt;95,"OUTLIER","NONE")</f>
        <v>NONE</v>
      </c>
      <c r="G2" s="25" t="str">
        <f t="shared" ref="G2:G16" si="3">IF(AND(C2&gt;95,B2="M"),"MALE ACHIEVER",IF(AND(C2&gt;95,B2="F"),"FEMALE ACHIEVER","NONE"))</f>
        <v>NONE</v>
      </c>
    </row>
    <row r="3" spans="1:7" ht="14.25" customHeight="1">
      <c r="A3" s="29" t="s">
        <v>116</v>
      </c>
      <c r="B3" s="29" t="s">
        <v>226</v>
      </c>
      <c r="C3" s="29">
        <v>80</v>
      </c>
      <c r="D3" s="25" t="str">
        <f t="shared" si="0"/>
        <v>PASS</v>
      </c>
      <c r="E3" s="25" t="str">
        <f t="shared" si="1"/>
        <v>B</v>
      </c>
      <c r="F3" s="25" t="str">
        <f t="shared" si="2"/>
        <v>NONE</v>
      </c>
      <c r="G3" s="25" t="str">
        <f t="shared" si="3"/>
        <v>NONE</v>
      </c>
    </row>
    <row r="4" spans="1:7" ht="14.25" customHeight="1">
      <c r="A4" s="29" t="s">
        <v>3484</v>
      </c>
      <c r="B4" s="29" t="s">
        <v>292</v>
      </c>
      <c r="C4" s="29">
        <v>96</v>
      </c>
      <c r="D4" s="25" t="str">
        <f t="shared" si="0"/>
        <v>PASS</v>
      </c>
      <c r="E4" s="25" t="str">
        <f t="shared" si="1"/>
        <v>A</v>
      </c>
      <c r="F4" s="25" t="str">
        <f t="shared" si="2"/>
        <v>OUTLIER</v>
      </c>
      <c r="G4" s="25" t="str">
        <f t="shared" si="3"/>
        <v>FEMALE ACHIEVER</v>
      </c>
    </row>
    <row r="5" spans="1:7" ht="14.25" customHeight="1">
      <c r="A5" s="29" t="s">
        <v>3485</v>
      </c>
      <c r="B5" s="29" t="s">
        <v>226</v>
      </c>
      <c r="C5" s="29">
        <v>72</v>
      </c>
      <c r="D5" s="25" t="str">
        <f t="shared" si="0"/>
        <v>PASS</v>
      </c>
      <c r="E5" s="25" t="str">
        <f t="shared" si="1"/>
        <v>C</v>
      </c>
      <c r="F5" s="25" t="str">
        <f t="shared" si="2"/>
        <v>NONE</v>
      </c>
      <c r="G5" s="25" t="str">
        <f t="shared" si="3"/>
        <v>NONE</v>
      </c>
    </row>
    <row r="6" spans="1:7" ht="14.25" customHeight="1">
      <c r="A6" s="29" t="s">
        <v>3486</v>
      </c>
      <c r="B6" s="29" t="s">
        <v>226</v>
      </c>
      <c r="C6" s="29">
        <v>69</v>
      </c>
      <c r="D6" s="25" t="str">
        <f t="shared" si="0"/>
        <v>PASS</v>
      </c>
      <c r="E6" s="25" t="str">
        <f t="shared" si="1"/>
        <v>D</v>
      </c>
      <c r="F6" s="25" t="str">
        <f t="shared" si="2"/>
        <v>NONE</v>
      </c>
      <c r="G6" s="25" t="str">
        <f t="shared" si="3"/>
        <v>NONE</v>
      </c>
    </row>
    <row r="7" spans="1:7" ht="14.25" customHeight="1">
      <c r="A7" s="29" t="s">
        <v>3487</v>
      </c>
      <c r="B7" s="29" t="s">
        <v>292</v>
      </c>
      <c r="C7" s="29">
        <v>52</v>
      </c>
      <c r="D7" s="25" t="str">
        <f t="shared" si="0"/>
        <v>FAIL</v>
      </c>
      <c r="E7" s="25" t="str">
        <f t="shared" si="1"/>
        <v>F</v>
      </c>
      <c r="F7" s="25" t="str">
        <f t="shared" si="2"/>
        <v>NONE</v>
      </c>
      <c r="G7" s="25" t="str">
        <f t="shared" si="3"/>
        <v>NONE</v>
      </c>
    </row>
    <row r="8" spans="1:7" ht="14.25" customHeight="1">
      <c r="A8" s="29" t="s">
        <v>3488</v>
      </c>
      <c r="B8" s="29" t="s">
        <v>226</v>
      </c>
      <c r="C8" s="29">
        <v>99</v>
      </c>
      <c r="D8" s="25" t="str">
        <f t="shared" si="0"/>
        <v>PASS</v>
      </c>
      <c r="E8" s="25" t="str">
        <f t="shared" si="1"/>
        <v>A</v>
      </c>
      <c r="F8" s="25" t="str">
        <f t="shared" si="2"/>
        <v>OUTLIER</v>
      </c>
      <c r="G8" s="25" t="str">
        <f t="shared" si="3"/>
        <v>MALE ACHIEVER</v>
      </c>
    </row>
    <row r="9" spans="1:7" ht="14.25" customHeight="1">
      <c r="A9" s="29" t="s">
        <v>3489</v>
      </c>
      <c r="B9" s="29" t="s">
        <v>292</v>
      </c>
      <c r="C9" s="29">
        <v>82</v>
      </c>
      <c r="D9" s="25" t="str">
        <f t="shared" si="0"/>
        <v>PASS</v>
      </c>
      <c r="E9" s="25" t="str">
        <f t="shared" si="1"/>
        <v>B</v>
      </c>
      <c r="F9" s="25" t="str">
        <f t="shared" si="2"/>
        <v>NONE</v>
      </c>
      <c r="G9" s="25" t="str">
        <f t="shared" si="3"/>
        <v>NONE</v>
      </c>
    </row>
    <row r="10" spans="1:7" ht="14.25" customHeight="1">
      <c r="A10" s="29" t="s">
        <v>3490</v>
      </c>
      <c r="B10" s="29" t="s">
        <v>292</v>
      </c>
      <c r="C10" s="29">
        <v>67</v>
      </c>
      <c r="D10" s="25" t="str">
        <f t="shared" si="0"/>
        <v>PASS</v>
      </c>
      <c r="E10" s="25" t="str">
        <f t="shared" si="1"/>
        <v>D</v>
      </c>
      <c r="F10" s="25" t="str">
        <f t="shared" si="2"/>
        <v>NONE</v>
      </c>
      <c r="G10" s="25" t="str">
        <f t="shared" si="3"/>
        <v>NONE</v>
      </c>
    </row>
    <row r="11" spans="1:7" ht="14.25" customHeight="1">
      <c r="A11" s="29" t="s">
        <v>3491</v>
      </c>
      <c r="B11" s="29" t="s">
        <v>226</v>
      </c>
      <c r="C11" s="29">
        <v>90</v>
      </c>
      <c r="D11" s="25" t="str">
        <f t="shared" si="0"/>
        <v>PASS</v>
      </c>
      <c r="E11" s="25" t="str">
        <f t="shared" si="1"/>
        <v>A</v>
      </c>
      <c r="F11" s="25" t="str">
        <f t="shared" si="2"/>
        <v>NONE</v>
      </c>
      <c r="G11" s="25" t="str">
        <f t="shared" si="3"/>
        <v>NONE</v>
      </c>
    </row>
    <row r="12" spans="1:7" ht="14.25" customHeight="1">
      <c r="A12" s="29" t="s">
        <v>3492</v>
      </c>
      <c r="B12" s="29" t="s">
        <v>226</v>
      </c>
      <c r="C12" s="29">
        <v>83</v>
      </c>
      <c r="D12" s="25" t="str">
        <f t="shared" si="0"/>
        <v>PASS</v>
      </c>
      <c r="E12" s="25" t="str">
        <f t="shared" si="1"/>
        <v>B</v>
      </c>
      <c r="F12" s="25" t="str">
        <f t="shared" si="2"/>
        <v>NONE</v>
      </c>
      <c r="G12" s="25" t="str">
        <f t="shared" si="3"/>
        <v>NONE</v>
      </c>
    </row>
    <row r="13" spans="1:7" ht="14.25" customHeight="1">
      <c r="A13" s="29" t="s">
        <v>3493</v>
      </c>
      <c r="B13" s="29" t="s">
        <v>292</v>
      </c>
      <c r="C13" s="29">
        <v>89</v>
      </c>
      <c r="D13" s="25" t="str">
        <f t="shared" si="0"/>
        <v>PASS</v>
      </c>
      <c r="E13" s="25" t="str">
        <f t="shared" si="1"/>
        <v>B</v>
      </c>
      <c r="F13" s="25" t="str">
        <f t="shared" si="2"/>
        <v>NONE</v>
      </c>
      <c r="G13" s="25" t="str">
        <f t="shared" si="3"/>
        <v>NONE</v>
      </c>
    </row>
    <row r="14" spans="1:7" ht="14.25" customHeight="1">
      <c r="A14" s="29" t="s">
        <v>3494</v>
      </c>
      <c r="B14" s="29" t="s">
        <v>292</v>
      </c>
      <c r="C14" s="29">
        <v>60</v>
      </c>
      <c r="D14" s="25" t="str">
        <f t="shared" si="0"/>
        <v>PASS</v>
      </c>
      <c r="E14" s="25" t="str">
        <f t="shared" si="1"/>
        <v>D</v>
      </c>
      <c r="F14" s="25" t="str">
        <f t="shared" si="2"/>
        <v>NONE</v>
      </c>
      <c r="G14" s="25" t="str">
        <f t="shared" si="3"/>
        <v>NONE</v>
      </c>
    </row>
    <row r="15" spans="1:7" ht="14.25" customHeight="1">
      <c r="A15" s="29" t="s">
        <v>3495</v>
      </c>
      <c r="B15" s="29" t="s">
        <v>292</v>
      </c>
      <c r="C15" s="29">
        <v>63</v>
      </c>
      <c r="D15" s="25" t="str">
        <f t="shared" si="0"/>
        <v>PASS</v>
      </c>
      <c r="E15" s="25" t="str">
        <f t="shared" si="1"/>
        <v>D</v>
      </c>
      <c r="F15" s="25" t="str">
        <f t="shared" si="2"/>
        <v>NONE</v>
      </c>
      <c r="G15" s="25" t="str">
        <f t="shared" si="3"/>
        <v>NONE</v>
      </c>
    </row>
    <row r="16" spans="1:7" ht="14.25" customHeight="1">
      <c r="A16" s="29" t="s">
        <v>3496</v>
      </c>
      <c r="B16" s="29" t="s">
        <v>226</v>
      </c>
      <c r="C16" s="29">
        <v>59</v>
      </c>
      <c r="D16" s="25" t="str">
        <f t="shared" si="0"/>
        <v>FAIL</v>
      </c>
      <c r="E16" s="25" t="str">
        <f t="shared" si="1"/>
        <v>F</v>
      </c>
      <c r="F16" s="25" t="str">
        <f t="shared" si="2"/>
        <v>NONE</v>
      </c>
      <c r="G16" s="25" t="str">
        <f t="shared" si="3"/>
        <v>NONE</v>
      </c>
    </row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F1000"/>
  <sheetViews>
    <sheetView workbookViewId="0"/>
  </sheetViews>
  <sheetFormatPr defaultColWidth="14.44140625" defaultRowHeight="15" customHeight="1"/>
  <cols>
    <col min="1" max="1" width="17.44140625" customWidth="1"/>
    <col min="2" max="2" width="10.6640625" customWidth="1"/>
    <col min="3" max="4" width="8.6640625" customWidth="1"/>
    <col min="5" max="5" width="12.44140625" customWidth="1"/>
    <col min="6" max="6" width="11.88671875" customWidth="1"/>
  </cols>
  <sheetData>
    <row r="1" spans="1:6" ht="14.25" customHeight="1">
      <c r="A1" s="23" t="s">
        <v>3497</v>
      </c>
      <c r="B1" s="23" t="s">
        <v>3498</v>
      </c>
      <c r="C1" s="23" t="s">
        <v>3499</v>
      </c>
      <c r="D1" s="23" t="s">
        <v>3369</v>
      </c>
      <c r="E1" s="60" t="s">
        <v>3500</v>
      </c>
      <c r="F1" s="60" t="s">
        <v>3501</v>
      </c>
    </row>
    <row r="2" spans="1:6" ht="14.25" customHeight="1">
      <c r="A2" s="61">
        <v>42370</v>
      </c>
      <c r="B2" s="29">
        <v>146</v>
      </c>
      <c r="C2" s="29">
        <v>77</v>
      </c>
      <c r="D2" s="29">
        <v>18</v>
      </c>
      <c r="E2" s="62">
        <f t="shared" ref="E2:E26" si="0">C2/B2</f>
        <v>0.5273972602739726</v>
      </c>
      <c r="F2" s="62">
        <f t="shared" ref="F2:F26" si="1">D2/B2</f>
        <v>0.12328767123287671</v>
      </c>
    </row>
    <row r="3" spans="1:6" ht="14.25" customHeight="1">
      <c r="A3" s="61">
        <v>42370</v>
      </c>
      <c r="B3" s="29">
        <v>169</v>
      </c>
      <c r="C3" s="29">
        <v>72</v>
      </c>
      <c r="D3" s="29">
        <v>15</v>
      </c>
      <c r="E3" s="62">
        <f t="shared" si="0"/>
        <v>0.42603550295857989</v>
      </c>
      <c r="F3" s="62">
        <f t="shared" si="1"/>
        <v>8.8757396449704137E-2</v>
      </c>
    </row>
    <row r="4" spans="1:6" ht="14.25" customHeight="1">
      <c r="A4" s="61">
        <v>42370</v>
      </c>
      <c r="B4" s="29">
        <v>199</v>
      </c>
      <c r="C4" s="29">
        <v>71</v>
      </c>
      <c r="D4" s="29">
        <v>19</v>
      </c>
      <c r="E4" s="62">
        <f t="shared" si="0"/>
        <v>0.35678391959798994</v>
      </c>
      <c r="F4" s="62">
        <f t="shared" si="1"/>
        <v>9.5477386934673364E-2</v>
      </c>
    </row>
    <row r="5" spans="1:6" ht="14.25" customHeight="1">
      <c r="A5" s="61">
        <v>42371</v>
      </c>
      <c r="B5" s="29">
        <v>281</v>
      </c>
      <c r="C5" s="29">
        <v>66</v>
      </c>
      <c r="D5" s="29">
        <v>10</v>
      </c>
      <c r="E5" s="62">
        <f t="shared" si="0"/>
        <v>0.23487544483985764</v>
      </c>
      <c r="F5" s="62">
        <f t="shared" si="1"/>
        <v>3.5587188612099648E-2</v>
      </c>
    </row>
    <row r="6" spans="1:6" ht="14.25" customHeight="1">
      <c r="A6" s="61">
        <v>42371</v>
      </c>
      <c r="B6" s="29">
        <v>266</v>
      </c>
      <c r="C6" s="29">
        <v>53</v>
      </c>
      <c r="D6" s="29">
        <v>19</v>
      </c>
      <c r="E6" s="62">
        <f t="shared" si="0"/>
        <v>0.19924812030075187</v>
      </c>
      <c r="F6" s="62">
        <f t="shared" si="1"/>
        <v>7.1428571428571425E-2</v>
      </c>
    </row>
    <row r="7" spans="1:6" ht="14.25" customHeight="1">
      <c r="A7" s="61">
        <v>42371</v>
      </c>
      <c r="B7" s="29">
        <v>277</v>
      </c>
      <c r="C7" s="29">
        <v>84</v>
      </c>
      <c r="D7" s="29">
        <v>15</v>
      </c>
      <c r="E7" s="62">
        <f t="shared" si="0"/>
        <v>0.30324909747292417</v>
      </c>
      <c r="F7" s="62">
        <f t="shared" si="1"/>
        <v>5.4151624548736461E-2</v>
      </c>
    </row>
    <row r="8" spans="1:6" ht="14.25" customHeight="1">
      <c r="A8" s="61">
        <v>42372</v>
      </c>
      <c r="B8" s="29">
        <v>145</v>
      </c>
      <c r="C8" s="29">
        <v>73</v>
      </c>
      <c r="D8" s="29">
        <v>15</v>
      </c>
      <c r="E8" s="62">
        <f t="shared" si="0"/>
        <v>0.50344827586206897</v>
      </c>
      <c r="F8" s="62">
        <f t="shared" si="1"/>
        <v>0.10344827586206896</v>
      </c>
    </row>
    <row r="9" spans="1:6" ht="14.25" customHeight="1">
      <c r="A9" s="61">
        <v>42372</v>
      </c>
      <c r="B9" s="29">
        <v>227</v>
      </c>
      <c r="C9" s="29">
        <v>69</v>
      </c>
      <c r="D9" s="29">
        <v>12</v>
      </c>
      <c r="E9" s="62">
        <f t="shared" si="0"/>
        <v>0.30396475770925108</v>
      </c>
      <c r="F9" s="62">
        <f t="shared" si="1"/>
        <v>5.2863436123348019E-2</v>
      </c>
    </row>
    <row r="10" spans="1:6" ht="14.25" customHeight="1">
      <c r="A10" s="61">
        <v>42372</v>
      </c>
      <c r="B10" s="29">
        <v>180</v>
      </c>
      <c r="C10" s="29">
        <v>79</v>
      </c>
      <c r="D10" s="29">
        <v>16</v>
      </c>
      <c r="E10" s="62">
        <f t="shared" si="0"/>
        <v>0.43888888888888888</v>
      </c>
      <c r="F10" s="62">
        <f t="shared" si="1"/>
        <v>8.8888888888888892E-2</v>
      </c>
    </row>
    <row r="11" spans="1:6" ht="14.25" customHeight="1">
      <c r="A11" s="61">
        <v>42373</v>
      </c>
      <c r="B11" s="29">
        <v>0</v>
      </c>
      <c r="C11" s="29">
        <v>0</v>
      </c>
      <c r="D11" s="29">
        <v>0</v>
      </c>
      <c r="E11" s="62" t="e">
        <f t="shared" si="0"/>
        <v>#DIV/0!</v>
      </c>
      <c r="F11" s="62" t="e">
        <f t="shared" si="1"/>
        <v>#DIV/0!</v>
      </c>
    </row>
    <row r="12" spans="1:6" ht="14.25" customHeight="1">
      <c r="A12" s="61">
        <v>42374</v>
      </c>
      <c r="B12" s="29">
        <v>242</v>
      </c>
      <c r="C12" s="29">
        <v>75</v>
      </c>
      <c r="D12" s="29">
        <v>10</v>
      </c>
      <c r="E12" s="62">
        <f t="shared" si="0"/>
        <v>0.30991735537190085</v>
      </c>
      <c r="F12" s="62">
        <f t="shared" si="1"/>
        <v>4.1322314049586778E-2</v>
      </c>
    </row>
    <row r="13" spans="1:6" ht="14.25" customHeight="1">
      <c r="A13" s="61">
        <v>42374</v>
      </c>
      <c r="B13" s="29">
        <v>215</v>
      </c>
      <c r="C13" s="29">
        <v>75</v>
      </c>
      <c r="D13" s="29">
        <v>16</v>
      </c>
      <c r="E13" s="62">
        <f t="shared" si="0"/>
        <v>0.34883720930232559</v>
      </c>
      <c r="F13" s="62">
        <f t="shared" si="1"/>
        <v>7.441860465116279E-2</v>
      </c>
    </row>
    <row r="14" spans="1:6" ht="14.25" customHeight="1">
      <c r="A14" s="61">
        <v>42374</v>
      </c>
      <c r="B14" s="29">
        <v>244</v>
      </c>
      <c r="C14" s="29">
        <v>82</v>
      </c>
      <c r="D14" s="29">
        <v>16</v>
      </c>
      <c r="E14" s="62">
        <f t="shared" si="0"/>
        <v>0.33606557377049179</v>
      </c>
      <c r="F14" s="62">
        <f t="shared" si="1"/>
        <v>6.5573770491803282E-2</v>
      </c>
    </row>
    <row r="15" spans="1:6" ht="14.25" customHeight="1">
      <c r="A15" s="61">
        <v>42374</v>
      </c>
      <c r="B15" s="29">
        <v>179</v>
      </c>
      <c r="C15" s="29">
        <v>71</v>
      </c>
      <c r="D15" s="29">
        <v>13</v>
      </c>
      <c r="E15" s="62">
        <f t="shared" si="0"/>
        <v>0.39664804469273746</v>
      </c>
      <c r="F15" s="62">
        <f t="shared" si="1"/>
        <v>7.2625698324022353E-2</v>
      </c>
    </row>
    <row r="16" spans="1:6" ht="14.25" customHeight="1">
      <c r="A16" s="61">
        <v>42374</v>
      </c>
      <c r="B16" s="29">
        <v>276</v>
      </c>
      <c r="C16" s="29">
        <v>72</v>
      </c>
      <c r="D16" s="29">
        <v>14</v>
      </c>
      <c r="E16" s="62">
        <f t="shared" si="0"/>
        <v>0.2608695652173913</v>
      </c>
      <c r="F16" s="62">
        <f t="shared" si="1"/>
        <v>5.0724637681159424E-2</v>
      </c>
    </row>
    <row r="17" spans="1:6" ht="14.25" customHeight="1">
      <c r="A17" s="61">
        <v>42375</v>
      </c>
      <c r="B17" s="29">
        <v>127</v>
      </c>
      <c r="C17" s="29">
        <v>78</v>
      </c>
      <c r="D17" s="29">
        <v>20</v>
      </c>
      <c r="E17" s="62">
        <f t="shared" si="0"/>
        <v>0.61417322834645671</v>
      </c>
      <c r="F17" s="62">
        <f t="shared" si="1"/>
        <v>0.15748031496062992</v>
      </c>
    </row>
    <row r="18" spans="1:6" ht="14.25" customHeight="1">
      <c r="A18" s="61">
        <v>42375</v>
      </c>
      <c r="B18" s="29">
        <v>283</v>
      </c>
      <c r="C18" s="29">
        <v>78</v>
      </c>
      <c r="D18" s="29">
        <v>18</v>
      </c>
      <c r="E18" s="62">
        <f t="shared" si="0"/>
        <v>0.2756183745583039</v>
      </c>
      <c r="F18" s="62">
        <f t="shared" si="1"/>
        <v>6.3604240282685506E-2</v>
      </c>
    </row>
    <row r="19" spans="1:6" ht="14.25" customHeight="1">
      <c r="A19" s="61">
        <v>42375</v>
      </c>
      <c r="B19" s="29">
        <v>126</v>
      </c>
      <c r="C19" s="29">
        <v>76</v>
      </c>
      <c r="D19" s="29">
        <v>20</v>
      </c>
      <c r="E19" s="62">
        <f t="shared" si="0"/>
        <v>0.60317460317460314</v>
      </c>
      <c r="F19" s="62">
        <f t="shared" si="1"/>
        <v>0.15873015873015872</v>
      </c>
    </row>
    <row r="20" spans="1:6" ht="14.25" customHeight="1">
      <c r="A20" s="61">
        <v>42376</v>
      </c>
      <c r="B20" s="29">
        <v>262</v>
      </c>
      <c r="C20" s="29">
        <v>81</v>
      </c>
      <c r="D20" s="29">
        <v>19</v>
      </c>
      <c r="E20" s="62">
        <f t="shared" si="0"/>
        <v>0.30916030534351147</v>
      </c>
      <c r="F20" s="62">
        <f t="shared" si="1"/>
        <v>7.2519083969465645E-2</v>
      </c>
    </row>
    <row r="21" spans="1:6" ht="14.25" customHeight="1">
      <c r="A21" s="61">
        <v>42376</v>
      </c>
      <c r="B21" s="29">
        <v>287</v>
      </c>
      <c r="C21" s="29">
        <v>81</v>
      </c>
      <c r="D21" s="29">
        <v>14</v>
      </c>
      <c r="E21" s="62">
        <f t="shared" si="0"/>
        <v>0.28222996515679444</v>
      </c>
      <c r="F21" s="62">
        <f t="shared" si="1"/>
        <v>4.878048780487805E-2</v>
      </c>
    </row>
    <row r="22" spans="1:6" ht="14.25" customHeight="1">
      <c r="A22" s="61">
        <v>42376</v>
      </c>
      <c r="B22" s="29">
        <v>269</v>
      </c>
      <c r="C22" s="29">
        <v>82</v>
      </c>
      <c r="D22" s="29">
        <v>14</v>
      </c>
      <c r="E22" s="62">
        <f t="shared" si="0"/>
        <v>0.30483271375464682</v>
      </c>
      <c r="F22" s="62">
        <f t="shared" si="1"/>
        <v>5.204460966542751E-2</v>
      </c>
    </row>
    <row r="23" spans="1:6" ht="14.25" customHeight="1">
      <c r="A23" s="61">
        <v>42377</v>
      </c>
      <c r="B23" s="29">
        <v>272</v>
      </c>
      <c r="C23" s="29">
        <v>54</v>
      </c>
      <c r="D23" s="29">
        <v>10</v>
      </c>
      <c r="E23" s="62">
        <f t="shared" si="0"/>
        <v>0.19852941176470587</v>
      </c>
      <c r="F23" s="62">
        <f t="shared" si="1"/>
        <v>3.6764705882352942E-2</v>
      </c>
    </row>
    <row r="24" spans="1:6" ht="14.25" customHeight="1">
      <c r="A24" s="61">
        <v>42377</v>
      </c>
      <c r="B24" s="29">
        <v>204</v>
      </c>
      <c r="C24" s="29">
        <v>69</v>
      </c>
      <c r="D24" s="29">
        <v>11</v>
      </c>
      <c r="E24" s="62">
        <f t="shared" si="0"/>
        <v>0.33823529411764708</v>
      </c>
      <c r="F24" s="62">
        <f t="shared" si="1"/>
        <v>5.3921568627450983E-2</v>
      </c>
    </row>
    <row r="25" spans="1:6" ht="14.25" customHeight="1">
      <c r="A25" s="61">
        <v>42377</v>
      </c>
      <c r="B25" s="29">
        <v>150</v>
      </c>
      <c r="C25" s="29">
        <v>72</v>
      </c>
      <c r="D25" s="29">
        <v>20</v>
      </c>
      <c r="E25" s="62">
        <f t="shared" si="0"/>
        <v>0.48</v>
      </c>
      <c r="F25" s="62">
        <f t="shared" si="1"/>
        <v>0.13333333333333333</v>
      </c>
    </row>
    <row r="26" spans="1:6" ht="14.25" customHeight="1">
      <c r="A26" s="61">
        <v>42377</v>
      </c>
      <c r="B26" s="29">
        <v>261</v>
      </c>
      <c r="C26" s="29">
        <v>90</v>
      </c>
      <c r="D26" s="29">
        <v>19</v>
      </c>
      <c r="E26" s="62">
        <f t="shared" si="0"/>
        <v>0.34482758620689657</v>
      </c>
      <c r="F26" s="62">
        <f t="shared" si="1"/>
        <v>7.2796934865900387E-2</v>
      </c>
    </row>
    <row r="27" spans="1:6" ht="14.25" customHeight="1"/>
    <row r="28" spans="1:6" ht="14.25" customHeight="1"/>
    <row r="29" spans="1:6" ht="14.25" customHeight="1"/>
    <row r="30" spans="1:6" ht="14.25" customHeight="1"/>
    <row r="31" spans="1:6" ht="14.25" customHeight="1"/>
    <row r="32" spans="1:6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G1000"/>
  <sheetViews>
    <sheetView workbookViewId="0"/>
  </sheetViews>
  <sheetFormatPr defaultColWidth="14.44140625" defaultRowHeight="15" customHeight="1"/>
  <cols>
    <col min="1" max="1" width="6" customWidth="1"/>
    <col min="2" max="2" width="13.88671875" customWidth="1"/>
    <col min="3" max="3" width="16.5546875" customWidth="1"/>
    <col min="4" max="4" width="10.88671875" customWidth="1"/>
    <col min="5" max="5" width="13.33203125" customWidth="1"/>
    <col min="6" max="6" width="21.5546875" customWidth="1"/>
    <col min="7" max="7" width="13.44140625" customWidth="1"/>
  </cols>
  <sheetData>
    <row r="1" spans="1:7" ht="14.25" customHeight="1">
      <c r="A1" s="63" t="s">
        <v>3497</v>
      </c>
      <c r="B1" s="64" t="s">
        <v>3423</v>
      </c>
      <c r="C1" s="64" t="s">
        <v>3502</v>
      </c>
      <c r="D1" s="64" t="s">
        <v>3503</v>
      </c>
      <c r="E1" s="64" t="s">
        <v>3370</v>
      </c>
      <c r="F1" s="63"/>
      <c r="G1" s="65" t="s">
        <v>3504</v>
      </c>
    </row>
    <row r="2" spans="1:7" ht="14.25" customHeight="1">
      <c r="A2" s="27">
        <v>41640</v>
      </c>
      <c r="B2" s="66">
        <v>1099</v>
      </c>
      <c r="C2" s="66">
        <v>275</v>
      </c>
      <c r="D2" s="66">
        <v>643</v>
      </c>
      <c r="E2" s="66">
        <v>456</v>
      </c>
      <c r="F2" s="27"/>
      <c r="G2" s="67">
        <v>0.41492265696087355</v>
      </c>
    </row>
    <row r="3" spans="1:7" ht="14.25" customHeight="1">
      <c r="A3" s="27">
        <v>41671</v>
      </c>
      <c r="B3" s="66">
        <v>1204</v>
      </c>
      <c r="C3" s="66">
        <v>105</v>
      </c>
      <c r="D3" s="66">
        <v>720</v>
      </c>
      <c r="E3" s="66">
        <v>211</v>
      </c>
      <c r="F3" s="27"/>
      <c r="G3" s="67">
        <v>0.17524916943521596</v>
      </c>
    </row>
    <row r="4" spans="1:7" ht="14.25" customHeight="1">
      <c r="A4" s="27">
        <v>41699</v>
      </c>
      <c r="B4" s="66">
        <v>1944</v>
      </c>
      <c r="C4" s="66">
        <v>740</v>
      </c>
      <c r="D4" s="66">
        <v>964</v>
      </c>
      <c r="E4" s="66">
        <v>980</v>
      </c>
      <c r="F4" s="27"/>
      <c r="G4" s="67">
        <v>0.50411522633744854</v>
      </c>
    </row>
    <row r="5" spans="1:7" ht="14.25" customHeight="1">
      <c r="A5" s="27">
        <v>41730</v>
      </c>
      <c r="B5" s="66">
        <v>1743</v>
      </c>
      <c r="C5" s="66">
        <v>-201</v>
      </c>
      <c r="D5" s="66">
        <v>830</v>
      </c>
      <c r="E5" s="66">
        <v>913</v>
      </c>
      <c r="F5" s="27"/>
      <c r="G5" s="67">
        <v>0.52380952380952384</v>
      </c>
    </row>
    <row r="6" spans="1:7" ht="14.25" customHeight="1">
      <c r="A6" s="27">
        <v>41760</v>
      </c>
      <c r="B6" s="66">
        <v>1609</v>
      </c>
      <c r="C6" s="66">
        <v>-134</v>
      </c>
      <c r="D6" s="66">
        <v>910</v>
      </c>
      <c r="E6" s="66">
        <v>699</v>
      </c>
      <c r="F6" s="27"/>
      <c r="G6" s="67">
        <v>0.43443132380360472</v>
      </c>
    </row>
    <row r="7" spans="1:7" ht="14.25" customHeight="1">
      <c r="A7" s="27">
        <v>41791</v>
      </c>
      <c r="B7" s="66">
        <v>1494</v>
      </c>
      <c r="C7" s="66">
        <v>-115</v>
      </c>
      <c r="D7" s="66">
        <v>909</v>
      </c>
      <c r="E7" s="66">
        <v>585</v>
      </c>
      <c r="F7" s="27"/>
      <c r="G7" s="67">
        <v>0.39156626506024095</v>
      </c>
    </row>
    <row r="8" spans="1:7" ht="14.25" customHeight="1">
      <c r="A8" s="27">
        <v>41821</v>
      </c>
      <c r="B8" s="66">
        <v>1959</v>
      </c>
      <c r="C8" s="66">
        <v>465</v>
      </c>
      <c r="D8" s="66">
        <v>830</v>
      </c>
      <c r="E8" s="66">
        <v>1129</v>
      </c>
      <c r="F8" s="27"/>
      <c r="G8" s="67">
        <v>0.57631444614599281</v>
      </c>
    </row>
    <row r="9" spans="1:7" ht="14.25" customHeight="1">
      <c r="A9" s="27">
        <v>41852</v>
      </c>
      <c r="B9" s="66">
        <v>1868</v>
      </c>
      <c r="C9" s="66">
        <v>-91</v>
      </c>
      <c r="D9" s="66">
        <v>906</v>
      </c>
      <c r="E9" s="66">
        <v>962</v>
      </c>
      <c r="F9" s="27"/>
      <c r="G9" s="67">
        <v>0.51498929336188437</v>
      </c>
    </row>
    <row r="10" spans="1:7" ht="14.25" customHeight="1">
      <c r="A10" s="27">
        <v>41883</v>
      </c>
      <c r="B10" s="66">
        <v>1162</v>
      </c>
      <c r="C10" s="66">
        <v>-706</v>
      </c>
      <c r="D10" s="66">
        <v>606</v>
      </c>
      <c r="E10" s="66">
        <v>556</v>
      </c>
      <c r="F10" s="27"/>
      <c r="G10" s="67">
        <v>0.47848537005163511</v>
      </c>
    </row>
    <row r="11" spans="1:7" ht="14.25" customHeight="1">
      <c r="A11" s="27">
        <v>41913</v>
      </c>
      <c r="B11" s="66">
        <v>1424</v>
      </c>
      <c r="C11" s="66">
        <v>262</v>
      </c>
      <c r="D11" s="66">
        <v>943</v>
      </c>
      <c r="E11" s="66">
        <v>481</v>
      </c>
      <c r="F11" s="27"/>
      <c r="G11" s="67">
        <v>0.3377808988764045</v>
      </c>
    </row>
    <row r="12" spans="1:7" ht="14.25" customHeight="1">
      <c r="A12" s="27">
        <v>41944</v>
      </c>
      <c r="B12" s="66">
        <v>1232</v>
      </c>
      <c r="C12" s="66">
        <v>-192</v>
      </c>
      <c r="D12" s="66">
        <v>801</v>
      </c>
      <c r="E12" s="66">
        <v>431</v>
      </c>
      <c r="F12" s="27"/>
      <c r="G12" s="67">
        <v>0.34983766233766234</v>
      </c>
    </row>
    <row r="13" spans="1:7" ht="14.25" customHeight="1">
      <c r="A13" s="27">
        <v>41974</v>
      </c>
      <c r="B13" s="66">
        <v>1738</v>
      </c>
      <c r="C13" s="66">
        <v>506</v>
      </c>
      <c r="D13" s="66">
        <v>786</v>
      </c>
      <c r="E13" s="66">
        <v>952</v>
      </c>
      <c r="F13" s="27"/>
      <c r="G13" s="67">
        <v>0.54775604142692746</v>
      </c>
    </row>
    <row r="14" spans="1:7" ht="14.25" customHeight="1">
      <c r="A14" s="27">
        <v>42005</v>
      </c>
      <c r="B14" s="66">
        <v>1435</v>
      </c>
      <c r="C14" s="66">
        <v>-303</v>
      </c>
      <c r="D14" s="66">
        <v>575</v>
      </c>
      <c r="E14" s="66">
        <v>860</v>
      </c>
      <c r="F14" s="27"/>
      <c r="G14" s="67">
        <v>0.5993031358885017</v>
      </c>
    </row>
    <row r="15" spans="1:7" ht="14.25" customHeight="1">
      <c r="A15" s="27">
        <v>42036</v>
      </c>
      <c r="B15" s="66">
        <v>1865</v>
      </c>
      <c r="C15" s="66">
        <v>430</v>
      </c>
      <c r="D15" s="66">
        <v>754</v>
      </c>
      <c r="E15" s="66">
        <v>1111</v>
      </c>
      <c r="F15" s="27"/>
      <c r="G15" s="67">
        <v>0.59571045576407511</v>
      </c>
    </row>
    <row r="16" spans="1:7" ht="14.25" customHeight="1">
      <c r="A16" s="27">
        <v>42064</v>
      </c>
      <c r="B16" s="66">
        <v>1234</v>
      </c>
      <c r="C16" s="66">
        <v>-631</v>
      </c>
      <c r="D16" s="66">
        <v>599</v>
      </c>
      <c r="E16" s="66">
        <v>635</v>
      </c>
      <c r="F16" s="27"/>
      <c r="G16" s="67">
        <v>0.51458670988654787</v>
      </c>
    </row>
    <row r="17" spans="1:7" ht="14.25" customHeight="1">
      <c r="A17" s="27">
        <v>42095</v>
      </c>
      <c r="B17" s="66">
        <v>1577</v>
      </c>
      <c r="C17" s="66">
        <v>343</v>
      </c>
      <c r="D17" s="66">
        <v>940</v>
      </c>
      <c r="E17" s="66">
        <v>637</v>
      </c>
      <c r="F17" s="27"/>
      <c r="G17" s="67">
        <v>0.40393151553582751</v>
      </c>
    </row>
    <row r="18" spans="1:7" ht="14.25" customHeight="1">
      <c r="A18" s="27">
        <v>42125</v>
      </c>
      <c r="B18" s="66">
        <v>1983</v>
      </c>
      <c r="C18" s="66">
        <v>406</v>
      </c>
      <c r="D18" s="66">
        <v>954</v>
      </c>
      <c r="E18" s="66">
        <v>1029</v>
      </c>
      <c r="F18" s="27"/>
      <c r="G18" s="67">
        <v>0.51891074130105896</v>
      </c>
    </row>
    <row r="19" spans="1:7" ht="14.25" customHeight="1">
      <c r="A19" s="27">
        <v>42156</v>
      </c>
      <c r="B19" s="66">
        <v>1356</v>
      </c>
      <c r="C19" s="66">
        <v>-627</v>
      </c>
      <c r="D19" s="66">
        <v>577</v>
      </c>
      <c r="E19" s="66">
        <v>779</v>
      </c>
      <c r="F19" s="27"/>
      <c r="G19" s="67">
        <v>0.57448377581120946</v>
      </c>
    </row>
    <row r="20" spans="1:7" ht="14.25" customHeight="1">
      <c r="A20" s="27">
        <v>42186</v>
      </c>
      <c r="B20" s="66">
        <v>1874</v>
      </c>
      <c r="C20" s="66">
        <v>518</v>
      </c>
      <c r="D20" s="66">
        <v>865</v>
      </c>
      <c r="E20" s="66">
        <v>883</v>
      </c>
      <c r="F20" s="27"/>
      <c r="G20" s="67">
        <v>0.47118463180362863</v>
      </c>
    </row>
    <row r="21" spans="1:7" ht="14.25" customHeight="1">
      <c r="A21" s="27">
        <v>42217</v>
      </c>
      <c r="B21" s="66">
        <v>1479</v>
      </c>
      <c r="C21" s="66">
        <v>-395</v>
      </c>
      <c r="D21" s="66">
        <v>588</v>
      </c>
      <c r="E21" s="66">
        <v>891</v>
      </c>
      <c r="F21" s="27"/>
      <c r="G21" s="67">
        <v>0.60243407707910746</v>
      </c>
    </row>
    <row r="22" spans="1:7" ht="14.25" customHeight="1">
      <c r="A22" s="27">
        <v>42248</v>
      </c>
      <c r="B22" s="66">
        <v>1943</v>
      </c>
      <c r="C22" s="66">
        <v>464</v>
      </c>
      <c r="D22" s="66">
        <v>785</v>
      </c>
      <c r="E22" s="66">
        <v>712</v>
      </c>
      <c r="F22" s="27"/>
      <c r="G22" s="67">
        <v>0.36644364384971695</v>
      </c>
    </row>
    <row r="23" spans="1:7" ht="14.25" customHeight="1">
      <c r="A23" s="27">
        <v>42278</v>
      </c>
      <c r="B23" s="66">
        <v>1444</v>
      </c>
      <c r="C23" s="66">
        <v>-499</v>
      </c>
      <c r="D23" s="66">
        <v>657</v>
      </c>
      <c r="E23" s="66">
        <v>787</v>
      </c>
      <c r="F23" s="27"/>
      <c r="G23" s="67">
        <v>0.54501385041551242</v>
      </c>
    </row>
    <row r="24" spans="1:7" ht="14.25" customHeight="1">
      <c r="A24" s="27">
        <v>42309</v>
      </c>
      <c r="B24" s="66">
        <v>1493</v>
      </c>
      <c r="C24" s="66">
        <v>49</v>
      </c>
      <c r="D24" s="66">
        <v>880</v>
      </c>
      <c r="E24" s="66">
        <v>613</v>
      </c>
      <c r="F24" s="27"/>
      <c r="G24" s="67">
        <v>0.4105827193569993</v>
      </c>
    </row>
    <row r="25" spans="1:7" ht="14.25" customHeight="1">
      <c r="A25" s="27">
        <v>42339</v>
      </c>
      <c r="B25" s="66">
        <v>1738</v>
      </c>
      <c r="C25" s="66">
        <v>245</v>
      </c>
      <c r="D25" s="66">
        <v>580</v>
      </c>
      <c r="E25" s="66">
        <v>1158</v>
      </c>
      <c r="F25" s="27"/>
      <c r="G25" s="67">
        <v>0.66628308400460301</v>
      </c>
    </row>
    <row r="26" spans="1:7" ht="14.25" customHeight="1"/>
    <row r="27" spans="1:7" ht="14.25" customHeight="1"/>
    <row r="28" spans="1:7" ht="14.25" customHeight="1"/>
    <row r="29" spans="1:7" ht="14.25" customHeight="1"/>
    <row r="30" spans="1:7" ht="14.25" customHeight="1"/>
    <row r="31" spans="1:7" ht="14.25" customHeight="1"/>
    <row r="32" spans="1:7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G1:G25">
    <cfRule type="cellIs" dxfId="1" priority="1" operator="greaterThan">
      <formula>0.5</formula>
    </cfRule>
  </conditionalFormatting>
  <conditionalFormatting sqref="G1:G25">
    <cfRule type="cellIs" dxfId="0" priority="2" operator="lessThan">
      <formula>0.5</formula>
    </cfRule>
  </conditionalFormatting>
  <pageMargins left="0.7" right="0.7" top="0.75" bottom="0.75" header="0" footer="0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B1:K1000"/>
  <sheetViews>
    <sheetView zoomScale="35" workbookViewId="0">
      <selection activeCell="E50" sqref="E50"/>
    </sheetView>
  </sheetViews>
  <sheetFormatPr defaultColWidth="14.44140625" defaultRowHeight="15" customHeight="1"/>
  <cols>
    <col min="1" max="1" width="8.88671875" customWidth="1"/>
    <col min="2" max="2" width="23.44140625" customWidth="1"/>
    <col min="3" max="3" width="10" customWidth="1"/>
    <col min="4" max="5" width="8.88671875" customWidth="1"/>
    <col min="6" max="6" width="10.5546875" customWidth="1"/>
    <col min="7" max="7" width="18.21875" bestFit="1" customWidth="1"/>
    <col min="8" max="8" width="21.5546875" bestFit="1" customWidth="1"/>
    <col min="9" max="9" width="15.6640625" customWidth="1"/>
    <col min="10" max="10" width="17.33203125" customWidth="1"/>
    <col min="11" max="11" width="15.33203125" customWidth="1"/>
  </cols>
  <sheetData>
    <row r="1" spans="2:11" ht="14.25" customHeight="1">
      <c r="H1" s="115"/>
    </row>
    <row r="2" spans="2:11" ht="14.25" customHeight="1">
      <c r="B2" s="33" t="s">
        <v>3505</v>
      </c>
      <c r="C2" s="33"/>
      <c r="D2" s="33"/>
      <c r="E2" s="68"/>
      <c r="F2" s="68"/>
      <c r="G2" s="68"/>
      <c r="H2" s="115"/>
    </row>
    <row r="3" spans="2:11" ht="14.25" customHeight="1">
      <c r="B3" s="27" t="s">
        <v>3506</v>
      </c>
    </row>
    <row r="4" spans="2:11" ht="14.25" customHeight="1"/>
    <row r="5" spans="2:11" ht="14.25" customHeight="1">
      <c r="B5" s="69" t="s">
        <v>3497</v>
      </c>
      <c r="C5" s="69" t="s">
        <v>3507</v>
      </c>
      <c r="D5" s="69" t="s">
        <v>3508</v>
      </c>
      <c r="E5" s="69" t="s">
        <v>3509</v>
      </c>
      <c r="F5" s="120" t="s">
        <v>3510</v>
      </c>
    </row>
    <row r="6" spans="2:11" ht="14.25" customHeight="1">
      <c r="B6" s="70">
        <v>43870</v>
      </c>
      <c r="C6" s="71">
        <v>1002</v>
      </c>
      <c r="D6" s="46" t="s">
        <v>3511</v>
      </c>
      <c r="E6" s="46" t="s">
        <v>3512</v>
      </c>
      <c r="F6" s="122">
        <v>290</v>
      </c>
    </row>
    <row r="7" spans="2:11" ht="14.25" customHeight="1">
      <c r="B7" s="70">
        <v>43871</v>
      </c>
      <c r="C7" s="71">
        <v>1003</v>
      </c>
      <c r="D7" s="46" t="s">
        <v>3514</v>
      </c>
      <c r="E7" s="46" t="s">
        <v>3515</v>
      </c>
      <c r="F7" s="122">
        <v>540</v>
      </c>
    </row>
    <row r="8" spans="2:11" ht="14.25" customHeight="1">
      <c r="B8" s="70">
        <v>43872</v>
      </c>
      <c r="C8" s="71">
        <v>1004</v>
      </c>
      <c r="D8" s="46" t="s">
        <v>3516</v>
      </c>
      <c r="E8" s="46" t="s">
        <v>3517</v>
      </c>
      <c r="F8" s="122">
        <v>630</v>
      </c>
      <c r="K8" s="10"/>
    </row>
    <row r="9" spans="2:11" ht="14.25" customHeight="1">
      <c r="B9" s="70">
        <v>43873</v>
      </c>
      <c r="C9" s="71">
        <v>1005</v>
      </c>
      <c r="D9" s="46" t="s">
        <v>3491</v>
      </c>
      <c r="E9" s="46" t="s">
        <v>3518</v>
      </c>
      <c r="F9" s="122">
        <v>880</v>
      </c>
      <c r="H9" s="7" t="s">
        <v>3519</v>
      </c>
      <c r="I9" s="7" t="s">
        <v>3520</v>
      </c>
      <c r="J9" s="7" t="s">
        <v>3521</v>
      </c>
      <c r="K9" s="7" t="s">
        <v>3522</v>
      </c>
    </row>
    <row r="10" spans="2:11" ht="14.25" customHeight="1">
      <c r="B10" s="70">
        <v>43874</v>
      </c>
      <c r="C10" s="71">
        <v>1006</v>
      </c>
      <c r="D10" s="46" t="s">
        <v>3523</v>
      </c>
      <c r="E10" s="46" t="s">
        <v>3524</v>
      </c>
      <c r="F10" s="122">
        <v>800</v>
      </c>
      <c r="H10" s="123">
        <f>SUM(F6:F25)</f>
        <v>14257</v>
      </c>
      <c r="I10" s="123">
        <f>AVERAGE(F6:F25)</f>
        <v>712.85</v>
      </c>
      <c r="J10" s="123">
        <f>MAX(F6:F25)</f>
        <v>1000</v>
      </c>
      <c r="K10" s="123">
        <f>MIN(F6:F25)</f>
        <v>290</v>
      </c>
    </row>
    <row r="11" spans="2:11" ht="14.25" customHeight="1">
      <c r="B11" s="70">
        <v>43878</v>
      </c>
      <c r="C11" s="71">
        <v>1010</v>
      </c>
      <c r="D11" s="46" t="s">
        <v>116</v>
      </c>
      <c r="E11" s="46" t="s">
        <v>3525</v>
      </c>
      <c r="F11" s="122">
        <v>750</v>
      </c>
    </row>
    <row r="12" spans="2:11" ht="14.25" customHeight="1">
      <c r="B12" s="70">
        <v>43879</v>
      </c>
      <c r="C12" s="71">
        <v>1011</v>
      </c>
      <c r="D12" s="46" t="s">
        <v>3526</v>
      </c>
      <c r="E12" s="46" t="s">
        <v>3527</v>
      </c>
      <c r="F12" s="122">
        <v>567</v>
      </c>
    </row>
    <row r="13" spans="2:11" ht="14.25" customHeight="1">
      <c r="B13" s="70">
        <v>43882</v>
      </c>
      <c r="C13" s="71">
        <v>1014</v>
      </c>
      <c r="D13" s="46" t="s">
        <v>3529</v>
      </c>
      <c r="E13" s="46" t="s">
        <v>3530</v>
      </c>
      <c r="F13" s="122">
        <v>660</v>
      </c>
    </row>
    <row r="14" spans="2:11" ht="14.25" customHeight="1">
      <c r="B14" s="70">
        <v>43883</v>
      </c>
      <c r="C14" s="71">
        <v>1015</v>
      </c>
      <c r="D14" s="46" t="s">
        <v>3531</v>
      </c>
      <c r="E14" s="46" t="s">
        <v>3532</v>
      </c>
      <c r="F14" s="122">
        <v>800</v>
      </c>
    </row>
    <row r="15" spans="2:11" ht="14.25" customHeight="1">
      <c r="B15" s="70">
        <v>43884</v>
      </c>
      <c r="C15" s="71">
        <v>1016</v>
      </c>
      <c r="D15" s="46" t="s">
        <v>3359</v>
      </c>
      <c r="E15" s="46" t="s">
        <v>57</v>
      </c>
      <c r="F15" s="122">
        <v>550</v>
      </c>
    </row>
    <row r="16" spans="2:11" ht="14.25" customHeight="1">
      <c r="B16" s="70">
        <v>43885</v>
      </c>
      <c r="C16" s="71">
        <v>1017</v>
      </c>
      <c r="D16" s="46" t="s">
        <v>3533</v>
      </c>
      <c r="E16" s="46" t="s">
        <v>3534</v>
      </c>
      <c r="F16" s="122">
        <v>910</v>
      </c>
    </row>
    <row r="17" spans="2:6" ht="14.25" customHeight="1">
      <c r="B17" s="70">
        <v>43886</v>
      </c>
      <c r="C17" s="71">
        <v>1018</v>
      </c>
      <c r="D17" s="46" t="s">
        <v>3535</v>
      </c>
      <c r="E17" s="46" t="s">
        <v>3536</v>
      </c>
      <c r="F17" s="122">
        <v>880</v>
      </c>
    </row>
    <row r="18" spans="2:6" ht="14.25" customHeight="1">
      <c r="B18" s="70">
        <v>43887</v>
      </c>
      <c r="C18" s="71">
        <v>1019</v>
      </c>
      <c r="D18" s="46" t="s">
        <v>3537</v>
      </c>
      <c r="E18" s="46" t="s">
        <v>3538</v>
      </c>
      <c r="F18" s="122">
        <v>710</v>
      </c>
    </row>
    <row r="19" spans="2:6" ht="14.25" customHeight="1">
      <c r="B19" s="70">
        <v>43889</v>
      </c>
      <c r="C19" s="71">
        <v>1021</v>
      </c>
      <c r="D19" s="46" t="s">
        <v>3539</v>
      </c>
      <c r="E19" s="46" t="s">
        <v>3540</v>
      </c>
      <c r="F19" s="122">
        <v>680</v>
      </c>
    </row>
    <row r="20" spans="2:6" ht="14.25" customHeight="1">
      <c r="B20" s="70">
        <v>43890</v>
      </c>
      <c r="C20" s="71">
        <v>1022</v>
      </c>
      <c r="D20" s="46" t="s">
        <v>3541</v>
      </c>
      <c r="E20" s="46" t="s">
        <v>3542</v>
      </c>
      <c r="F20" s="122">
        <v>880</v>
      </c>
    </row>
    <row r="21" spans="2:6" ht="14.25" customHeight="1">
      <c r="B21" s="70">
        <v>43891</v>
      </c>
      <c r="C21" s="71">
        <v>1023</v>
      </c>
      <c r="D21" s="46" t="s">
        <v>3543</v>
      </c>
      <c r="E21" s="46" t="s">
        <v>3544</v>
      </c>
      <c r="F21" s="122">
        <v>510</v>
      </c>
    </row>
    <row r="22" spans="2:6" ht="14.25" customHeight="1">
      <c r="B22" s="70">
        <v>44445</v>
      </c>
      <c r="C22" s="71">
        <v>1024</v>
      </c>
      <c r="D22" s="46" t="s">
        <v>3545</v>
      </c>
      <c r="E22" s="46" t="s">
        <v>3546</v>
      </c>
      <c r="F22" s="122">
        <v>810</v>
      </c>
    </row>
    <row r="23" spans="2:6" ht="14.25" customHeight="1">
      <c r="B23" s="70">
        <v>44463</v>
      </c>
      <c r="C23" s="71">
        <v>1025</v>
      </c>
      <c r="D23" s="46" t="s">
        <v>3547</v>
      </c>
      <c r="E23" s="46" t="s">
        <v>3548</v>
      </c>
      <c r="F23" s="122">
        <v>630</v>
      </c>
    </row>
    <row r="24" spans="2:6" ht="14.25" customHeight="1">
      <c r="B24" s="70">
        <v>44553</v>
      </c>
      <c r="C24" s="71">
        <v>1030</v>
      </c>
      <c r="D24" s="46" t="s">
        <v>3549</v>
      </c>
      <c r="E24" s="46" t="s">
        <v>3550</v>
      </c>
      <c r="F24" s="122">
        <v>780</v>
      </c>
    </row>
    <row r="25" spans="2:6" ht="14.25" customHeight="1">
      <c r="B25" s="70">
        <v>46164</v>
      </c>
      <c r="C25" s="71">
        <v>1199</v>
      </c>
      <c r="D25" s="46" t="s">
        <v>3562</v>
      </c>
      <c r="E25" s="46" t="s">
        <v>3563</v>
      </c>
      <c r="F25" s="122">
        <v>1000</v>
      </c>
    </row>
    <row r="26" spans="2:6" ht="14.25" customHeight="1">
      <c r="F26" s="121"/>
    </row>
    <row r="27" spans="2:6" ht="14.25" customHeight="1">
      <c r="F27" s="115"/>
    </row>
    <row r="28" spans="2:6" ht="14.25" customHeight="1"/>
    <row r="29" spans="2:6" ht="14.25" customHeight="1"/>
    <row r="30" spans="2:6" ht="14.25" customHeight="1"/>
    <row r="31" spans="2:6" ht="14.25" customHeight="1"/>
    <row r="32" spans="2:6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1FCA49D-93F6-4CE7-8FC6-06F58BDCFB79}">
  <ds:schemaRefs/>
</ds:datastoreItem>
</file>

<file path=customXml/itemProps2.xml><?xml version="1.0" encoding="utf-8"?>
<ds:datastoreItem xmlns:ds="http://schemas.openxmlformats.org/officeDocument/2006/customXml" ds:itemID="{7C23DB07-7F2F-4A11-8E05-5D583D18E5F0}">
  <ds:schemaRefs/>
</ds:datastoreItem>
</file>

<file path=customXml/itemProps3.xml><?xml version="1.0" encoding="utf-8"?>
<ds:datastoreItem xmlns:ds="http://schemas.openxmlformats.org/officeDocument/2006/customXml" ds:itemID="{4B8E71A2-99F7-4FF9-A1EB-BDE2827BE8E9}">
  <ds:schemaRefs/>
</ds:datastoreItem>
</file>

<file path=customXml/itemProps4.xml><?xml version="1.0" encoding="utf-8"?>
<ds:datastoreItem xmlns:ds="http://schemas.openxmlformats.org/officeDocument/2006/customXml" ds:itemID="{07EE9EEC-9D67-4A20-A9FB-9FF53D059BB7}">
  <ds:schemaRefs/>
</ds:datastoreItem>
</file>

<file path=customXml/itemProps5.xml><?xml version="1.0" encoding="utf-8"?>
<ds:datastoreItem xmlns:ds="http://schemas.openxmlformats.org/officeDocument/2006/customXml" ds:itemID="{438B20FF-D1E4-43FE-AD2F-1DED5B300E78}">
  <ds:schemaRefs/>
</ds:datastoreItem>
</file>

<file path=customXml/itemProps6.xml><?xml version="1.0" encoding="utf-8"?>
<ds:datastoreItem xmlns:ds="http://schemas.openxmlformats.org/officeDocument/2006/customXml" ds:itemID="{2C48932B-3B26-40DA-8F71-3DB75FD7F07E}">
  <ds:schemaRefs/>
</ds:datastoreItem>
</file>

<file path=customXml/itemProps7.xml><?xml version="1.0" encoding="utf-8"?>
<ds:datastoreItem xmlns:ds="http://schemas.openxmlformats.org/officeDocument/2006/customXml" ds:itemID="{E5F86B9B-3D8B-4CB0-9398-B5BBF4679631}">
  <ds:schemaRefs/>
</ds:datastoreItem>
</file>

<file path=customXml/itemProps8.xml><?xml version="1.0" encoding="utf-8"?>
<ds:datastoreItem xmlns:ds="http://schemas.openxmlformats.org/officeDocument/2006/customXml" ds:itemID="{3B78D263-479B-49A4-BD2C-BCE805AB7025}">
  <ds:schemaRefs/>
</ds:datastoreItem>
</file>

<file path=customXml/itemProps9.xml><?xml version="1.0" encoding="utf-8"?>
<ds:datastoreItem xmlns:ds="http://schemas.openxmlformats.org/officeDocument/2006/customXml" ds:itemID="{E58D40AC-B907-4AA7-AEDE-927607C7E2A2}">
  <ds:schemaRefs/>
</ds:datastoreItem>
</file>

<file path=customXml/itemProps10.xml><?xml version="1.0" encoding="utf-8"?>
<ds:datastoreItem xmlns:ds="http://schemas.openxmlformats.org/officeDocument/2006/customXml" ds:itemID="{3A51FA28-1886-4E74-88F8-F09890DAA8D6}">
  <ds:schemaRefs/>
</ds:datastoreItem>
</file>

<file path=customXml/itemProps11.xml><?xml version="1.0" encoding="utf-8"?>
<ds:datastoreItem xmlns:ds="http://schemas.openxmlformats.org/officeDocument/2006/customXml" ds:itemID="{8CC37D09-8883-4C06-8755-0DE843048BAC}">
  <ds:schemaRefs/>
</ds:datastoreItem>
</file>

<file path=customXml/itemProps12.xml><?xml version="1.0" encoding="utf-8"?>
<ds:datastoreItem xmlns:ds="http://schemas.openxmlformats.org/officeDocument/2006/customXml" ds:itemID="{2DC497E7-48CB-44BF-9445-60BE2EF22D0B}">
  <ds:schemaRefs/>
</ds:datastoreItem>
</file>

<file path=customXml/itemProps13.xml><?xml version="1.0" encoding="utf-8"?>
<ds:datastoreItem xmlns:ds="http://schemas.openxmlformats.org/officeDocument/2006/customXml" ds:itemID="{5EFAF9C0-2948-4273-94F7-ADF791B5A551}">
  <ds:schemaRefs/>
</ds:datastoreItem>
</file>

<file path=customXml/itemProps14.xml><?xml version="1.0" encoding="utf-8"?>
<ds:datastoreItem xmlns:ds="http://schemas.openxmlformats.org/officeDocument/2006/customXml" ds:itemID="{B342FDA5-942B-478F-AF36-280E02E2AD53}">
  <ds:schemaRefs/>
</ds:datastoreItem>
</file>

<file path=customXml/itemProps15.xml><?xml version="1.0" encoding="utf-8"?>
<ds:datastoreItem xmlns:ds="http://schemas.openxmlformats.org/officeDocument/2006/customXml" ds:itemID="{CD3F610C-75D3-4A10-828E-5E2254C1BDCD}">
  <ds:schemaRefs/>
</ds:datastoreItem>
</file>

<file path=customXml/itemProps16.xml><?xml version="1.0" encoding="utf-8"?>
<ds:datastoreItem xmlns:ds="http://schemas.openxmlformats.org/officeDocument/2006/customXml" ds:itemID="{A8062199-92FC-41B2-B998-85511AB86B5D}">
  <ds:schemaRefs/>
</ds:datastoreItem>
</file>

<file path=customXml/itemProps17.xml><?xml version="1.0" encoding="utf-8"?>
<ds:datastoreItem xmlns:ds="http://schemas.openxmlformats.org/officeDocument/2006/customXml" ds:itemID="{EB120FD3-075E-410D-824F-E37DBBB8ECA6}">
  <ds:schemaRefs/>
</ds:datastoreItem>
</file>

<file path=customXml/itemProps18.xml><?xml version="1.0" encoding="utf-8"?>
<ds:datastoreItem xmlns:ds="http://schemas.openxmlformats.org/officeDocument/2006/customXml" ds:itemID="{96210669-88A7-4867-8AC2-DA72455568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Original Data</vt:lpstr>
      <vt:lpstr>Dashboard</vt:lpstr>
      <vt:lpstr>TOPICS</vt:lpstr>
      <vt:lpstr>CONSOLIDATE</vt:lpstr>
      <vt:lpstr>Sheet18</vt:lpstr>
      <vt:lpstr>Sheet17</vt:lpstr>
      <vt:lpstr>Sheet16</vt:lpstr>
      <vt:lpstr>Sheet15</vt:lpstr>
      <vt:lpstr>Sheet21</vt:lpstr>
      <vt:lpstr>Sheet14</vt:lpstr>
      <vt:lpstr>Sheet13</vt:lpstr>
      <vt:lpstr>Sheet12</vt:lpstr>
      <vt:lpstr>Sheet11</vt:lpstr>
      <vt:lpstr>Sheet10</vt:lpstr>
      <vt:lpstr>Sheet9</vt:lpstr>
      <vt:lpstr>Sheet8</vt:lpstr>
      <vt:lpstr>Sheet7</vt:lpstr>
      <vt:lpstr>Sheet5</vt:lpstr>
      <vt:lpstr>Sheet6</vt:lpstr>
      <vt:lpstr>Sheet3</vt:lpstr>
      <vt:lpstr>Sheet4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Nepram</dc:creator>
  <cp:lastModifiedBy>deepak</cp:lastModifiedBy>
  <dcterms:created xsi:type="dcterms:W3CDTF">2026-05-22T05:36:38Z</dcterms:created>
  <dcterms:modified xsi:type="dcterms:W3CDTF">2026-05-22T07:25:40Z</dcterms:modified>
</cp:coreProperties>
</file>